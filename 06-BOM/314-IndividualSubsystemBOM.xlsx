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eee4bdecec0601/Documents/Excel/"/>
    </mc:Choice>
  </mc:AlternateContent>
  <xr:revisionPtr revIDLastSave="0" documentId="8_{31BDF4E4-6464-49B6-9FB9-40E9BDC5BB36}" xr6:coauthVersionLast="47" xr6:coauthVersionMax="47" xr10:uidLastSave="{00000000-0000-0000-0000-000000000000}"/>
  <bookViews>
    <workbookView xWindow="-28920" yWindow="-105" windowWidth="29040" windowHeight="15840" xr2:uid="{675D2568-D1ED-4C1F-8946-EECF8A2D1A6D}"/>
  </bookViews>
  <sheets>
    <sheet name="EGR314-IndividualSubsystemDesig" sheetId="1" r:id="rId1"/>
  </sheets>
  <calcPr calcId="181029"/>
</workbook>
</file>

<file path=xl/calcChain.xml><?xml version="1.0" encoding="utf-8"?>
<calcChain xmlns="http://schemas.openxmlformats.org/spreadsheetml/2006/main">
  <c r="D6" i="1" l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8" i="1"/>
  <c r="D7" i="1"/>
  <c r="D10" i="1"/>
  <c r="D9" i="1"/>
  <c r="D16" i="1"/>
  <c r="D15" i="1"/>
  <c r="D14" i="1"/>
  <c r="D13" i="1"/>
  <c r="D5" i="1"/>
  <c r="D4" i="1"/>
  <c r="D3" i="1"/>
  <c r="D2" i="1"/>
  <c r="D11" i="1"/>
</calcChain>
</file>

<file path=xl/sharedStrings.xml><?xml version="1.0" encoding="utf-8"?>
<sst xmlns="http://schemas.openxmlformats.org/spreadsheetml/2006/main" count="260" uniqueCount="171">
  <si>
    <t>Qty</t>
  </si>
  <si>
    <t>C1</t>
  </si>
  <si>
    <t>C2, C3</t>
  </si>
  <si>
    <t>C4</t>
  </si>
  <si>
    <t>C5, C6, C7</t>
  </si>
  <si>
    <t>D1, D2</t>
  </si>
  <si>
    <t>D3</t>
  </si>
  <si>
    <t>D4</t>
  </si>
  <si>
    <t>F1</t>
  </si>
  <si>
    <t>J1, J2, J4, J5</t>
  </si>
  <si>
    <t>TestPoint</t>
  </si>
  <si>
    <t>J3</t>
  </si>
  <si>
    <t>L1</t>
  </si>
  <si>
    <t>L2</t>
  </si>
  <si>
    <t>R2, R3</t>
  </si>
  <si>
    <t>SW1</t>
  </si>
  <si>
    <t>U1</t>
  </si>
  <si>
    <t>LM2596S-5.0</t>
  </si>
  <si>
    <t>U2</t>
  </si>
  <si>
    <t>LM2596S-3.3</t>
  </si>
  <si>
    <t>U3</t>
  </si>
  <si>
    <t>U4</t>
  </si>
  <si>
    <t>PG164100</t>
  </si>
  <si>
    <t>U5</t>
  </si>
  <si>
    <t>Part Name/Description</t>
  </si>
  <si>
    <t>Unit Cost</t>
  </si>
  <si>
    <t>Total Cost</t>
  </si>
  <si>
    <t>Manufacturer</t>
  </si>
  <si>
    <t>Manufacturer Part#</t>
  </si>
  <si>
    <t>Vendor Link</t>
  </si>
  <si>
    <t>Datasheet Link</t>
  </si>
  <si>
    <t>Supplier</t>
  </si>
  <si>
    <t>Supplier Part#</t>
  </si>
  <si>
    <t># Ordered</t>
  </si>
  <si>
    <t>Date Ordered</t>
  </si>
  <si>
    <t># Received</t>
  </si>
  <si>
    <t>Surplus</t>
  </si>
  <si>
    <t>Schematic Reference Designators</t>
  </si>
  <si>
    <t>Microchip</t>
  </si>
  <si>
    <t>https://ww1.microchip.com/downloads/aemDocuments/documents/MCU08/ProductDocuments/DataSheets/PIC18F27-47-57Q43-Microcontroller-Data-Sheet-XLP-DS40002147.pdf</t>
  </si>
  <si>
    <t>Peralta</t>
  </si>
  <si>
    <t>n/a</t>
  </si>
  <si>
    <t>Barrel Jack Switch</t>
  </si>
  <si>
    <t>Same Sky</t>
  </si>
  <si>
    <t>PJ-102AH</t>
  </si>
  <si>
    <t>https://www.digikey.com/en/products/detail/cui-devices/PJ-102AH/408448</t>
  </si>
  <si>
    <t>https://www.cuidevices.com/product/resource/pj-102ah.pdf</t>
  </si>
  <si>
    <t>Pushbutton</t>
  </si>
  <si>
    <t>NTE Electronics Inc.</t>
  </si>
  <si>
    <t>https://www.digikey.com/en/products/detail/nte-electronics-inc/74-5FG1-25A/11650366</t>
  </si>
  <si>
    <t>2x4 Pin Header (8-pin Connecter)</t>
  </si>
  <si>
    <t>DigiKey</t>
  </si>
  <si>
    <t>Digikey</t>
  </si>
  <si>
    <t>Keystone Electronics</t>
  </si>
  <si>
    <t>https://www.digikey.com/en/products/detail/keystone-electronics/5010/255332</t>
  </si>
  <si>
    <t>https://www.keyelco.com/userAssets/file/M65p56.pdf</t>
  </si>
  <si>
    <t>Molex</t>
  </si>
  <si>
    <t>https://www.digikey.com/en/products/detail/molex/0901471102/3303846</t>
  </si>
  <si>
    <t>https://www.molex.com/en-us/products/part-detail/901471102?display=pdf</t>
  </si>
  <si>
    <t>PIC18F47Q43-I/PT</t>
  </si>
  <si>
    <t>PIC18F47Q43-I/P</t>
  </si>
  <si>
    <t>https://www.microchipdirect.com/samples?Devicefamily=PIC18F47Q43</t>
  </si>
  <si>
    <t>Microchip Direct</t>
  </si>
  <si>
    <t>TF-Luna Single-Point LiDAR</t>
  </si>
  <si>
    <t>Benewake</t>
  </si>
  <si>
    <t>TF Luna I2C</t>
  </si>
  <si>
    <t>https://www.mouser.com/ProductDetail/Benewake/TF-Luna-I2C?qs=DPoM0jnrROUWvdDwJYVpzw%3D%3D&amp;mgh=1&amp;utm</t>
  </si>
  <si>
    <t>https://www.mouser.com/catalog/specsheets/Benewake_TF-Luna_Datasheet.pdf</t>
  </si>
  <si>
    <t>Mouser</t>
  </si>
  <si>
    <t>234-TFLUNAI2C</t>
  </si>
  <si>
    <t>J6, J7</t>
  </si>
  <si>
    <t>Fuse 1.5A</t>
  </si>
  <si>
    <t>MPLAB SNAP Programming Tool</t>
  </si>
  <si>
    <t>https://www.microchip.com/en-us/development-tool/pg164100</t>
  </si>
  <si>
    <t>https://ww1.microchip.com/downloads/aemDocuments/documents/DEV/ProductDocuments/UserGuides/MPLAB-Snap-In-Circuit-Debugger-User-Guide-50002787.pdf</t>
  </si>
  <si>
    <t>Already Owned</t>
  </si>
  <si>
    <t>Evvo</t>
  </si>
  <si>
    <t>5V Switching Regulator</t>
  </si>
  <si>
    <t>3.3V Switching Regulator</t>
  </si>
  <si>
    <t>https://www.digikey.com/en/products/detail/evvo/lm2596s-5-0-ev/22482016</t>
  </si>
  <si>
    <t>https://mm.digikey.com/Volume0/opasdata/d220001/medias/docus/7158/5272_LM2596S-5.0-EV.pdf</t>
  </si>
  <si>
    <t>5272-LM2596S-5.0-EVCT-ND</t>
  </si>
  <si>
    <t>https://www.digikey.com/en/products/detail/evvo/lm2596s-3-3-ev/24370077</t>
  </si>
  <si>
    <t>https://mm.digikey.com/Volume0/opasdata/d220001/medias/docus/7158/5272_LM2596S-3.3-EV.pdf</t>
  </si>
  <si>
    <t>5272-LM2596S-3.3-EVCT-ND</t>
  </si>
  <si>
    <t>Omron Electronics Inc</t>
  </si>
  <si>
    <t>B3U-1100PM</t>
  </si>
  <si>
    <t>https://www.digikey.com/en/products/detail/omron-electronics-inc-emc-div/B3U-1100PM/2754804</t>
  </si>
  <si>
    <t>https://omronfs.omron.com/en_US/ecb/products/pdf/en-b3u.pdf</t>
  </si>
  <si>
    <t>SW1451CT-ND</t>
  </si>
  <si>
    <t>PIC18F47Q43-I/PT Microcontroller</t>
  </si>
  <si>
    <t>PIC18F47Q43-I/P Microcontroller</t>
  </si>
  <si>
    <t>J8, J9</t>
  </si>
  <si>
    <t>2x1 Receptacle Connectors (Extra I/O)</t>
  </si>
  <si>
    <t>1x8 Male Header (for SNAP Tool)</t>
  </si>
  <si>
    <t>2x1 Male Header (for Power Jumpers)</t>
  </si>
  <si>
    <t>JP1, JP2</t>
  </si>
  <si>
    <t>Jumpers (for Power)</t>
  </si>
  <si>
    <t>https://www.digikey.com/en/products/detail/molex/0015291025/315122</t>
  </si>
  <si>
    <t>https://www.molex.com/pdm_docs/ps/PS-7859.pdf</t>
  </si>
  <si>
    <t>WM23943-ND</t>
  </si>
  <si>
    <t>Red LED</t>
  </si>
  <si>
    <t>Lite-On Inc</t>
  </si>
  <si>
    <t>LTST-C150KRKT</t>
  </si>
  <si>
    <t>https://www.digikey.com/en/products/detail/liteon/LTST-C150KRKT/386761</t>
  </si>
  <si>
    <t>https://optoelectronics.liteon.com/upload/download/DS-22-99-0149/LTST-C150KRKT.pdf</t>
  </si>
  <si>
    <t>160-1405-1-ND</t>
  </si>
  <si>
    <t>Green LED</t>
  </si>
  <si>
    <t>LTST-C150KGKT</t>
  </si>
  <si>
    <t>https://www.digikey.com/en/products/detail/liteon/LTST-C150KGKT/365085</t>
  </si>
  <si>
    <t>https://optoelectronics.liteon.com/upload/download/DS22-2000-072/LTST-C150KGKT.pdf</t>
  </si>
  <si>
    <t>160-1404-1-ND</t>
  </si>
  <si>
    <t>KYOCERA AVX</t>
  </si>
  <si>
    <t>TAJD227M010RNJV</t>
  </si>
  <si>
    <t>https://datasheets.kyocera-avx.com/TAJ.pdf</t>
  </si>
  <si>
    <t>https://www.digikey.com/en/products/detail/kyocera-avx/TAJD227M010RNJV/11201934</t>
  </si>
  <si>
    <t>478-TAJD227M010RNJVCT-ND</t>
  </si>
  <si>
    <t>TPSD337K010R0150</t>
  </si>
  <si>
    <t>https://datasheets.kyocera-avx.com/TPS.pdf</t>
  </si>
  <si>
    <t>https://www.digikey.com/en/products/detail/kyocera-avx/TPSD337K010R0150/1473202</t>
  </si>
  <si>
    <t>478-9191-1-ND</t>
  </si>
  <si>
    <t>TPSE477K010R0045</t>
  </si>
  <si>
    <t>https://www.digikey.com/en/products/detail/kyocera-avx/TPSE477K010R0045/809538</t>
  </si>
  <si>
    <t>478-3088-1-ND</t>
  </si>
  <si>
    <t>220uF Capacitor (Tantalum)</t>
  </si>
  <si>
    <t>330uF Capacitor (Tantalum)</t>
  </si>
  <si>
    <t>470uF Capacitor (Tantalum)</t>
  </si>
  <si>
    <t>0.1uF Capacitor (Ceramic)</t>
  </si>
  <si>
    <t>KEMET</t>
  </si>
  <si>
    <t>C0805C104K9RACTU</t>
  </si>
  <si>
    <t>399-C0805C104K9RACTUCT-ND</t>
  </si>
  <si>
    <t>https://yageogroup.com/content/datasheet/asset/file/KEM_C1002_X7R_SMD</t>
  </si>
  <si>
    <t>https://www.digikey.com/en/products/detail/kemet/C0805C104K9RACTU/2211746?s=N4IgTCBcDaIMIAYAcCCscCMCAsBpAnAEoCCcAKgKogC6AvkA</t>
  </si>
  <si>
    <t>22uH Inductor (Ferrite)</t>
  </si>
  <si>
    <t>Bourns Inc</t>
  </si>
  <si>
    <t>6000-220K-TR-RC</t>
  </si>
  <si>
    <t>118-6000-220K-TR-RCCT-ND</t>
  </si>
  <si>
    <t>https://www.bourns.com/docs/Product-Datasheets/6000_series.pdf</t>
  </si>
  <si>
    <t>https://www.digikey.com/en/products/detail/bourns-inc/6000-220K-TR-RC/3782183</t>
  </si>
  <si>
    <t>33uH Inductor (Ferrite)</t>
  </si>
  <si>
    <t>6000-330K-TR-RC</t>
  </si>
  <si>
    <t>118-6000-330K-TR-RCCT-ND</t>
  </si>
  <si>
    <t>https://www.digikey.com/en/products/detail/bourns-inc/6000-330K-TR-RC/3782185</t>
  </si>
  <si>
    <t>TE Connectivity</t>
  </si>
  <si>
    <t>CRGH1206F220R</t>
  </si>
  <si>
    <t>1712-CRGH1206F220RCT-ND</t>
  </si>
  <si>
    <t>https://www.te.com/usa-en/product-2176186-4.datasheet.pdf</t>
  </si>
  <si>
    <t>https://www.digikey.com/en/products/detail/te-connectivity-passive-product/CRGH1206F220R/5586966</t>
  </si>
  <si>
    <t>220 Resistor</t>
  </si>
  <si>
    <t>4.7k Resistor</t>
  </si>
  <si>
    <t>2-2176186-0</t>
  </si>
  <si>
    <t>1712-2-2176186-0CT-ND</t>
  </si>
  <si>
    <t>R4, R5</t>
  </si>
  <si>
    <t>https://www.te.com/usa-en/product-2-2176186-0.datasheet.pdf</t>
  </si>
  <si>
    <t>https://www.digikey.com/en/products/detail/te-connectivity-passive-product/2-2176186-0/18110588</t>
  </si>
  <si>
    <t>10k Resistor</t>
  </si>
  <si>
    <t>CRGH1206F10K</t>
  </si>
  <si>
    <t>1712-CRGH1206F10KCT-ND</t>
  </si>
  <si>
    <t>R1, R6</t>
  </si>
  <si>
    <t>https://www.te.com/usa-en/product-9-1879515-1.datasheet.pdf</t>
  </si>
  <si>
    <t>https://www.digikey.com/en/products/detail/te-connectivity-passive-product/CRGH1206F10K/2387463</t>
  </si>
  <si>
    <t>40V 1A Diode (Schottky)</t>
  </si>
  <si>
    <t>SD1206S040S1R0</t>
  </si>
  <si>
    <t>478-7805-1-ND</t>
  </si>
  <si>
    <t>https://datasheets.kyocera-avx.com/schottky.pdf</t>
  </si>
  <si>
    <t>https://www.digikey.com/en/products/detail/kyocera-avx/SD1206S040S1R0/3749490</t>
  </si>
  <si>
    <t>1x6 Male Header (for TF-Luna)</t>
  </si>
  <si>
    <t>Amphenol ICC</t>
  </si>
  <si>
    <t>75869-332LF</t>
  </si>
  <si>
    <t>https://cdn.amphenol-cs.com/media/wysiwyg/files/documentation/datasheet/boardwiretoboard/bwb_quickie.pdf</t>
  </si>
  <si>
    <t>https://www.digikey.com/en/products/detail/amphenol-cs-fci/75869-332LF/1523267?s=N4IgTCBcDaIGwAYCcBaArARjAZhQOQBEQBdAXyA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</si>
</sst>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44444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3">
    <xf numFmtId="0" fontId="0" fillId="0" borderId="0" xfId="0"/>
    <xf numFmtId="0" fontId="16" fillId="33" borderId="10" xfId="0" applyFont="1" applyFill="1" applyBorder="1"/>
    <xf numFmtId="0" fontId="0" fillId="0" borderId="11" xfId="0" applyBorder="1"/>
    <xf numFmtId="164" fontId="0" fillId="0" borderId="11" xfId="0" applyNumberFormat="1" applyBorder="1"/>
    <xf numFmtId="0" fontId="18" fillId="0" borderId="11" xfId="42" applyBorder="1"/>
    <xf numFmtId="0" fontId="0" fillId="0" borderId="12" xfId="0" applyBorder="1"/>
    <xf numFmtId="164" fontId="0" fillId="0" borderId="12" xfId="0" applyNumberFormat="1" applyBorder="1"/>
    <xf numFmtId="0" fontId="18" fillId="0" borderId="12" xfId="42" applyBorder="1"/>
    <xf numFmtId="0" fontId="0" fillId="0" borderId="12" xfId="0" applyBorder="1" applyAlignment="1">
      <alignment horizontal="left"/>
    </xf>
    <xf numFmtId="0" fontId="19" fillId="0" borderId="12" xfId="0" applyFont="1" applyBorder="1"/>
    <xf numFmtId="0" fontId="18" fillId="0" borderId="12" xfId="42" applyFill="1" applyBorder="1"/>
    <xf numFmtId="14" fontId="0" fillId="0" borderId="11" xfId="0" applyNumberFormat="1" applyBorder="1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atasheets.kyocera-avx.com/TPS.pdf" TargetMode="External"/><Relationship Id="rId18" Type="http://schemas.openxmlformats.org/officeDocument/2006/relationships/hyperlink" Target="https://www.digikey.com/en/products/detail/bourns-inc/6000-220K-TR-RC/3782183" TargetMode="External"/><Relationship Id="rId26" Type="http://schemas.openxmlformats.org/officeDocument/2006/relationships/hyperlink" Target="https://www.digikey.com/en/products/detail/te-connectivity-passive-product/CRGH1206F10K/2387463" TargetMode="External"/><Relationship Id="rId21" Type="http://schemas.openxmlformats.org/officeDocument/2006/relationships/hyperlink" Target="https://www.te.com/usa-en/product-2176186-4.datasheet.pdf" TargetMode="External"/><Relationship Id="rId34" Type="http://schemas.openxmlformats.org/officeDocument/2006/relationships/hyperlink" Target="https://www.digikey.com/en/products/detail/omron-electronics-inc-emc-div/B3U-1100PM/2754804" TargetMode="External"/><Relationship Id="rId7" Type="http://schemas.openxmlformats.org/officeDocument/2006/relationships/hyperlink" Target="https://www.digikey.com/en/products/detail/keystone-electronics/5010/255332" TargetMode="External"/><Relationship Id="rId12" Type="http://schemas.openxmlformats.org/officeDocument/2006/relationships/hyperlink" Target="https://www.digikey.com/en/products/detail/kyocera-avx/TPSD337K010R0150/1473202" TargetMode="External"/><Relationship Id="rId17" Type="http://schemas.openxmlformats.org/officeDocument/2006/relationships/hyperlink" Target="https://www.bourns.com/docs/Product-Datasheets/6000_series.pdf" TargetMode="External"/><Relationship Id="rId25" Type="http://schemas.openxmlformats.org/officeDocument/2006/relationships/hyperlink" Target="https://www.te.com/usa-en/product-9-1879515-1.datasheet.pdf" TargetMode="External"/><Relationship Id="rId33" Type="http://schemas.openxmlformats.org/officeDocument/2006/relationships/hyperlink" Target="https://www.digikey.com/en/products/detail/liteon/LTST-C150KGKT/365085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https://www.digikey.com/en/products/detail/cui-devices/PJ-102AH/408448" TargetMode="External"/><Relationship Id="rId16" Type="http://schemas.openxmlformats.org/officeDocument/2006/relationships/hyperlink" Target="https://www.digikey.com/en/products/detail/kemet/C0805C104K9RACTU/2211746?s=N4IgTCBcDaIMIAYAcCCscCMCAsBpAnAEoCCcAKgKogC6AvkA" TargetMode="External"/><Relationship Id="rId20" Type="http://schemas.openxmlformats.org/officeDocument/2006/relationships/hyperlink" Target="https://www.digikey.com/en/products/detail/bourns-inc/6000-330K-TR-RC/3782185" TargetMode="External"/><Relationship Id="rId29" Type="http://schemas.openxmlformats.org/officeDocument/2006/relationships/hyperlink" Target="https://www.digikey.com/en/products/detail/kyocera-avx/TAJD227M010RNJV/11201934" TargetMode="External"/><Relationship Id="rId1" Type="http://schemas.openxmlformats.org/officeDocument/2006/relationships/hyperlink" Target="https://ww1.microchip.com/downloads/aemDocuments/documents/MCU08/ProductDocuments/DataSheets/PIC18F27-47-57Q43-Microcontroller-Data-Sheet-XLP-DS40002147.pdf" TargetMode="External"/><Relationship Id="rId6" Type="http://schemas.openxmlformats.org/officeDocument/2006/relationships/hyperlink" Target="https://www.keyelco.com/userAssets/file/M65p56.pdf" TargetMode="External"/><Relationship Id="rId11" Type="http://schemas.openxmlformats.org/officeDocument/2006/relationships/hyperlink" Target="https://datasheets.kyocera-avx.com/TPS.pdf" TargetMode="External"/><Relationship Id="rId24" Type="http://schemas.openxmlformats.org/officeDocument/2006/relationships/hyperlink" Target="https://www.digikey.com/en/products/detail/te-connectivity-passive-product/2-2176186-0/18110588" TargetMode="External"/><Relationship Id="rId32" Type="http://schemas.openxmlformats.org/officeDocument/2006/relationships/hyperlink" Target="https://www.digikey.com/en/products/detail/liteon/LTST-C150KRKT/386761" TargetMode="External"/><Relationship Id="rId37" Type="http://schemas.openxmlformats.org/officeDocument/2006/relationships/hyperlink" Target="https://www.microchipdirect.com/samples?Devicefamily=PIC18F47Q43" TargetMode="External"/><Relationship Id="rId5" Type="http://schemas.openxmlformats.org/officeDocument/2006/relationships/hyperlink" Target="https://www.mouser.com/ProductDetail/Benewake/TF-Luna-I2C?qs=DPoM0jnrROUWvdDwJYVpzw%3D%3D&amp;mgh=1&amp;utm" TargetMode="External"/><Relationship Id="rId15" Type="http://schemas.openxmlformats.org/officeDocument/2006/relationships/hyperlink" Target="https://yageogroup.com/content/datasheet/asset/file/KEM_C1002_X7R_SMD" TargetMode="External"/><Relationship Id="rId23" Type="http://schemas.openxmlformats.org/officeDocument/2006/relationships/hyperlink" Target="https://www.te.com/usa-en/product-2-2176186-0.datasheet.pdf" TargetMode="External"/><Relationship Id="rId28" Type="http://schemas.openxmlformats.org/officeDocument/2006/relationships/hyperlink" Target="https://www.digikey.com/en/products/detail/kyocera-avx/SD1206S040S1R0/3749490" TargetMode="External"/><Relationship Id="rId36" Type="http://schemas.openxmlformats.org/officeDocument/2006/relationships/hyperlink" Target="https://www.digikey.com/en/products/detail/evvo/lm2596s-3-3-ev/24370077" TargetMode="External"/><Relationship Id="rId10" Type="http://schemas.openxmlformats.org/officeDocument/2006/relationships/hyperlink" Target="https://mm.digikey.com/Volume0/opasdata/d220001/medias/docus/7158/5272_LM2596S-5.0-EV.pdf" TargetMode="External"/><Relationship Id="rId19" Type="http://schemas.openxmlformats.org/officeDocument/2006/relationships/hyperlink" Target="https://www.bourns.com/docs/Product-Datasheets/6000_series.pdf" TargetMode="External"/><Relationship Id="rId31" Type="http://schemas.openxmlformats.org/officeDocument/2006/relationships/hyperlink" Target="https://www.digikey.com/en/products/detail/amphenol-cs-fci/75869-332LF/1523267?s=N4IgTCBcDaIGwAYCcBaArARjAZhQOQBEQBdAXyA" TargetMode="External"/><Relationship Id="rId4" Type="http://schemas.openxmlformats.org/officeDocument/2006/relationships/hyperlink" Target="https://www.digikey.com/en/products/detail/nte-electronics-inc/74-5FG1-25A/11650366" TargetMode="External"/><Relationship Id="rId9" Type="http://schemas.openxmlformats.org/officeDocument/2006/relationships/hyperlink" Target="https://www.molex.com/en-us/products/part-detail/901471102?display=pdf" TargetMode="External"/><Relationship Id="rId14" Type="http://schemas.openxmlformats.org/officeDocument/2006/relationships/hyperlink" Target="https://www.digikey.com/en/products/detail/kyocera-avx/TPSE477K010R0045/809538" TargetMode="External"/><Relationship Id="rId22" Type="http://schemas.openxmlformats.org/officeDocument/2006/relationships/hyperlink" Target="https://www.digikey.com/en/products/detail/te-connectivity-passive-product/CRGH1206F220R/5586966" TargetMode="External"/><Relationship Id="rId27" Type="http://schemas.openxmlformats.org/officeDocument/2006/relationships/hyperlink" Target="https://datasheets.kyocera-avx.com/schottky.pdf" TargetMode="External"/><Relationship Id="rId30" Type="http://schemas.openxmlformats.org/officeDocument/2006/relationships/hyperlink" Target="https://cdn.amphenol-cs.com/media/wysiwyg/files/documentation/datasheet/boardwiretoboard/bwb_quickie.pdf" TargetMode="External"/><Relationship Id="rId35" Type="http://schemas.openxmlformats.org/officeDocument/2006/relationships/hyperlink" Target="https://www.digikey.com/en/products/detail/evvo/lm2596s-5-0-ev/22482016" TargetMode="External"/><Relationship Id="rId8" Type="http://schemas.openxmlformats.org/officeDocument/2006/relationships/hyperlink" Target="https://www.digikey.com/en/products/detail/molex/0901471102/3303846" TargetMode="External"/><Relationship Id="rId3" Type="http://schemas.openxmlformats.org/officeDocument/2006/relationships/hyperlink" Target="https://www.cuidevices.com/product/resource/pj-102ah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CA3A6-2B39-475B-AA27-AB6672F9F753}">
  <dimension ref="A1:O29"/>
  <sheetViews>
    <sheetView tabSelected="1" workbookViewId="0">
      <selection activeCell="G11" sqref="G11"/>
    </sheetView>
  </sheetViews>
  <sheetFormatPr defaultRowHeight="15" x14ac:dyDescent="0.25"/>
  <cols>
    <col min="1" max="1" width="34.7109375" customWidth="1"/>
    <col min="2" max="2" width="5.5703125" customWidth="1"/>
    <col min="3" max="3" width="10.42578125" customWidth="1"/>
    <col min="4" max="4" width="11.42578125" customWidth="1"/>
    <col min="5" max="5" width="20.7109375" customWidth="1"/>
    <col min="6" max="6" width="19.42578125" customWidth="1"/>
    <col min="7" max="7" width="12.85546875" customWidth="1"/>
    <col min="8" max="8" width="12.140625" customWidth="1"/>
    <col min="9" max="9" width="15.5703125" customWidth="1"/>
    <col min="10" max="10" width="28.85546875" customWidth="1"/>
    <col min="12" max="12" width="9.5703125" customWidth="1"/>
    <col min="15" max="15" width="29.7109375" customWidth="1"/>
  </cols>
  <sheetData>
    <row r="1" spans="1:15" ht="15.75" thickBot="1" x14ac:dyDescent="0.3">
      <c r="A1" s="1" t="s">
        <v>24</v>
      </c>
      <c r="B1" s="1" t="s">
        <v>0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</row>
    <row r="2" spans="1:15" x14ac:dyDescent="0.25">
      <c r="A2" s="5" t="s">
        <v>72</v>
      </c>
      <c r="B2" s="5">
        <v>1</v>
      </c>
      <c r="C2" s="6">
        <v>10.99</v>
      </c>
      <c r="D2" s="6">
        <f t="shared" ref="D2:D3" si="0">B2*C2</f>
        <v>10.99</v>
      </c>
      <c r="E2" s="5" t="s">
        <v>38</v>
      </c>
      <c r="F2" s="5" t="s">
        <v>22</v>
      </c>
      <c r="G2" s="7" t="s">
        <v>73</v>
      </c>
      <c r="H2" s="7" t="s">
        <v>74</v>
      </c>
      <c r="I2" s="5" t="s">
        <v>40</v>
      </c>
      <c r="J2" s="5" t="s">
        <v>41</v>
      </c>
      <c r="K2" s="5">
        <v>0</v>
      </c>
      <c r="L2" s="5" t="s">
        <v>41</v>
      </c>
      <c r="M2" s="5" t="s">
        <v>41</v>
      </c>
      <c r="N2" s="5" t="s">
        <v>41</v>
      </c>
      <c r="O2" s="5" t="s">
        <v>21</v>
      </c>
    </row>
    <row r="3" spans="1:15" x14ac:dyDescent="0.25">
      <c r="A3" s="5" t="s">
        <v>42</v>
      </c>
      <c r="B3" s="5">
        <v>1</v>
      </c>
      <c r="C3" s="6">
        <v>0.76</v>
      </c>
      <c r="D3" s="6">
        <f t="shared" si="0"/>
        <v>0.76</v>
      </c>
      <c r="E3" s="5" t="s">
        <v>43</v>
      </c>
      <c r="F3" s="5" t="s">
        <v>44</v>
      </c>
      <c r="G3" s="7" t="s">
        <v>45</v>
      </c>
      <c r="H3" s="7" t="s">
        <v>46</v>
      </c>
      <c r="I3" s="5" t="s">
        <v>40</v>
      </c>
      <c r="J3" s="5" t="s">
        <v>41</v>
      </c>
      <c r="K3" s="5">
        <v>0</v>
      </c>
      <c r="L3" s="5" t="s">
        <v>41</v>
      </c>
      <c r="M3" s="5" t="s">
        <v>41</v>
      </c>
      <c r="N3" s="5" t="s">
        <v>41</v>
      </c>
      <c r="O3" s="5" t="s">
        <v>11</v>
      </c>
    </row>
    <row r="4" spans="1:15" x14ac:dyDescent="0.25">
      <c r="A4" s="5" t="s">
        <v>71</v>
      </c>
      <c r="B4" s="5">
        <v>1</v>
      </c>
      <c r="C4" s="6">
        <v>0</v>
      </c>
      <c r="D4" s="6">
        <f t="shared" ref="D4:D11" si="1">B4*C4</f>
        <v>0</v>
      </c>
      <c r="E4" s="5" t="s">
        <v>48</v>
      </c>
      <c r="F4" s="5" t="s">
        <v>41</v>
      </c>
      <c r="G4" s="7" t="s">
        <v>49</v>
      </c>
      <c r="H4" s="5" t="s">
        <v>41</v>
      </c>
      <c r="I4" s="5" t="s">
        <v>40</v>
      </c>
      <c r="J4" s="5" t="s">
        <v>41</v>
      </c>
      <c r="K4" s="5">
        <v>0</v>
      </c>
      <c r="L4" s="5" t="s">
        <v>41</v>
      </c>
      <c r="M4" s="5" t="s">
        <v>41</v>
      </c>
      <c r="N4" s="5" t="s">
        <v>41</v>
      </c>
      <c r="O4" s="5" t="s">
        <v>8</v>
      </c>
    </row>
    <row r="5" spans="1:15" x14ac:dyDescent="0.25">
      <c r="A5" s="5" t="s">
        <v>50</v>
      </c>
      <c r="B5" s="5">
        <v>2</v>
      </c>
      <c r="C5" s="6">
        <v>0.68</v>
      </c>
      <c r="D5" s="6">
        <f t="shared" si="1"/>
        <v>1.36</v>
      </c>
      <c r="E5" s="5" t="s">
        <v>167</v>
      </c>
      <c r="F5" s="5" t="s">
        <v>168</v>
      </c>
      <c r="G5" s="7" t="s">
        <v>170</v>
      </c>
      <c r="H5" s="7" t="s">
        <v>169</v>
      </c>
      <c r="I5" s="5" t="s">
        <v>40</v>
      </c>
      <c r="J5" s="5" t="s">
        <v>41</v>
      </c>
      <c r="K5" s="5">
        <v>0</v>
      </c>
      <c r="L5" s="5" t="s">
        <v>41</v>
      </c>
      <c r="M5" s="5" t="s">
        <v>41</v>
      </c>
      <c r="N5" s="5" t="s">
        <v>41</v>
      </c>
      <c r="O5" s="5" t="s">
        <v>70</v>
      </c>
    </row>
    <row r="6" spans="1:15" x14ac:dyDescent="0.25">
      <c r="A6" s="5" t="s">
        <v>166</v>
      </c>
      <c r="B6" s="5">
        <v>1</v>
      </c>
      <c r="C6" s="6">
        <v>0</v>
      </c>
      <c r="D6" s="6">
        <f t="shared" si="1"/>
        <v>0</v>
      </c>
      <c r="E6" s="5" t="s">
        <v>41</v>
      </c>
      <c r="F6" s="5" t="s">
        <v>41</v>
      </c>
      <c r="G6" s="5" t="s">
        <v>41</v>
      </c>
      <c r="H6" s="5" t="s">
        <v>41</v>
      </c>
      <c r="I6" s="5" t="s">
        <v>40</v>
      </c>
      <c r="J6" s="5" t="s">
        <v>41</v>
      </c>
      <c r="K6" s="5">
        <v>0</v>
      </c>
      <c r="L6" s="5" t="s">
        <v>41</v>
      </c>
      <c r="M6" s="5" t="s">
        <v>41</v>
      </c>
      <c r="N6" s="5" t="s">
        <v>41</v>
      </c>
      <c r="O6" s="5" t="s">
        <v>23</v>
      </c>
    </row>
    <row r="7" spans="1:15" x14ac:dyDescent="0.25">
      <c r="A7" s="5" t="s">
        <v>94</v>
      </c>
      <c r="B7" s="5">
        <v>1</v>
      </c>
      <c r="C7" s="6">
        <v>0</v>
      </c>
      <c r="D7" s="6">
        <f t="shared" si="1"/>
        <v>0</v>
      </c>
      <c r="E7" s="5" t="s">
        <v>41</v>
      </c>
      <c r="F7" s="5" t="s">
        <v>41</v>
      </c>
      <c r="G7" s="5" t="s">
        <v>41</v>
      </c>
      <c r="H7" s="5" t="s">
        <v>41</v>
      </c>
      <c r="I7" s="5" t="s">
        <v>40</v>
      </c>
      <c r="J7" s="5" t="s">
        <v>41</v>
      </c>
      <c r="K7" s="5">
        <v>0</v>
      </c>
      <c r="L7" s="5" t="s">
        <v>41</v>
      </c>
      <c r="M7" s="5" t="s">
        <v>41</v>
      </c>
      <c r="N7" s="5" t="s">
        <v>41</v>
      </c>
      <c r="O7" s="5" t="s">
        <v>21</v>
      </c>
    </row>
    <row r="8" spans="1:15" x14ac:dyDescent="0.25">
      <c r="A8" s="5" t="s">
        <v>95</v>
      </c>
      <c r="B8" s="5">
        <v>2</v>
      </c>
      <c r="C8" s="6">
        <v>0</v>
      </c>
      <c r="D8" s="6">
        <f t="shared" si="1"/>
        <v>0</v>
      </c>
      <c r="E8" s="5" t="s">
        <v>41</v>
      </c>
      <c r="F8" s="5" t="s">
        <v>41</v>
      </c>
      <c r="G8" s="5" t="s">
        <v>41</v>
      </c>
      <c r="H8" s="5" t="s">
        <v>41</v>
      </c>
      <c r="I8" s="5" t="s">
        <v>40</v>
      </c>
      <c r="J8" s="5" t="s">
        <v>41</v>
      </c>
      <c r="K8" s="5">
        <v>0</v>
      </c>
      <c r="L8" s="5" t="s">
        <v>41</v>
      </c>
      <c r="M8" s="5" t="s">
        <v>41</v>
      </c>
      <c r="N8" s="5" t="s">
        <v>41</v>
      </c>
      <c r="O8" s="5" t="s">
        <v>96</v>
      </c>
    </row>
    <row r="9" spans="1:15" x14ac:dyDescent="0.25">
      <c r="A9" s="5" t="s">
        <v>10</v>
      </c>
      <c r="B9" s="5">
        <v>4</v>
      </c>
      <c r="C9" s="6">
        <v>0.245</v>
      </c>
      <c r="D9" s="6">
        <f t="shared" si="1"/>
        <v>0.98</v>
      </c>
      <c r="E9" s="5" t="s">
        <v>53</v>
      </c>
      <c r="F9" s="8">
        <v>5010</v>
      </c>
      <c r="G9" s="7" t="s">
        <v>54</v>
      </c>
      <c r="H9" s="7" t="s">
        <v>55</v>
      </c>
      <c r="I9" s="5" t="s">
        <v>75</v>
      </c>
      <c r="J9" s="5" t="s">
        <v>41</v>
      </c>
      <c r="K9" s="5">
        <v>0</v>
      </c>
      <c r="L9" s="5" t="s">
        <v>41</v>
      </c>
      <c r="M9" s="5" t="s">
        <v>41</v>
      </c>
      <c r="N9" s="5">
        <v>6</v>
      </c>
      <c r="O9" s="5" t="s">
        <v>9</v>
      </c>
    </row>
    <row r="10" spans="1:15" x14ac:dyDescent="0.25">
      <c r="A10" s="8" t="s">
        <v>93</v>
      </c>
      <c r="B10" s="5">
        <v>2</v>
      </c>
      <c r="C10" s="6">
        <v>0.81</v>
      </c>
      <c r="D10" s="6">
        <f t="shared" si="1"/>
        <v>1.62</v>
      </c>
      <c r="E10" s="5" t="s">
        <v>56</v>
      </c>
      <c r="F10" s="8">
        <v>901471102</v>
      </c>
      <c r="G10" s="7" t="s">
        <v>57</v>
      </c>
      <c r="H10" s="7" t="s">
        <v>58</v>
      </c>
      <c r="I10" s="5" t="s">
        <v>75</v>
      </c>
      <c r="J10" s="5" t="s">
        <v>41</v>
      </c>
      <c r="K10" s="5">
        <v>0</v>
      </c>
      <c r="L10" s="5" t="s">
        <v>41</v>
      </c>
      <c r="M10" s="5" t="s">
        <v>41</v>
      </c>
      <c r="N10" s="5">
        <v>1</v>
      </c>
      <c r="O10" s="5" t="s">
        <v>92</v>
      </c>
    </row>
    <row r="11" spans="1:15" x14ac:dyDescent="0.25">
      <c r="A11" s="2" t="s">
        <v>90</v>
      </c>
      <c r="B11" s="2">
        <v>1</v>
      </c>
      <c r="C11" s="3">
        <v>1.4</v>
      </c>
      <c r="D11" s="3">
        <f t="shared" si="1"/>
        <v>1.4</v>
      </c>
      <c r="E11" s="2" t="s">
        <v>38</v>
      </c>
      <c r="F11" s="2" t="s">
        <v>59</v>
      </c>
      <c r="G11" s="4" t="s">
        <v>61</v>
      </c>
      <c r="H11" s="4" t="s">
        <v>39</v>
      </c>
      <c r="I11" s="2" t="s">
        <v>62</v>
      </c>
      <c r="J11" s="2" t="s">
        <v>59</v>
      </c>
      <c r="K11" s="2">
        <v>3</v>
      </c>
      <c r="L11" s="11">
        <v>46085</v>
      </c>
      <c r="M11" s="2"/>
      <c r="N11" s="2"/>
      <c r="O11" s="2" t="s">
        <v>20</v>
      </c>
    </row>
    <row r="12" spans="1:15" x14ac:dyDescent="0.25">
      <c r="A12" s="2" t="s">
        <v>91</v>
      </c>
      <c r="B12" s="2">
        <v>1</v>
      </c>
      <c r="C12" s="3">
        <v>2.1</v>
      </c>
      <c r="D12" s="3">
        <v>6.3</v>
      </c>
      <c r="E12" s="2" t="s">
        <v>38</v>
      </c>
      <c r="F12" s="2" t="s">
        <v>60</v>
      </c>
      <c r="G12" s="4" t="s">
        <v>61</v>
      </c>
      <c r="H12" s="4"/>
      <c r="I12" s="2" t="s">
        <v>62</v>
      </c>
      <c r="J12" s="2" t="s">
        <v>60</v>
      </c>
      <c r="K12" s="2">
        <v>3</v>
      </c>
      <c r="L12" s="11">
        <v>46085</v>
      </c>
      <c r="M12" s="2"/>
      <c r="N12" s="2"/>
      <c r="O12" s="2" t="s">
        <v>20</v>
      </c>
    </row>
    <row r="13" spans="1:15" x14ac:dyDescent="0.25">
      <c r="A13" s="5" t="s">
        <v>63</v>
      </c>
      <c r="B13" s="5">
        <v>1</v>
      </c>
      <c r="C13" s="6">
        <v>24.99</v>
      </c>
      <c r="D13" s="6">
        <f t="shared" ref="D13:D29" si="2">B13*C13</f>
        <v>24.99</v>
      </c>
      <c r="E13" s="5" t="s">
        <v>64</v>
      </c>
      <c r="F13" s="5" t="s">
        <v>65</v>
      </c>
      <c r="G13" s="7" t="s">
        <v>66</v>
      </c>
      <c r="H13" s="7" t="s">
        <v>67</v>
      </c>
      <c r="I13" s="5" t="s">
        <v>68</v>
      </c>
      <c r="J13" s="5" t="s">
        <v>69</v>
      </c>
      <c r="K13" s="5">
        <v>1</v>
      </c>
      <c r="L13" s="5"/>
      <c r="M13" s="5"/>
      <c r="N13" s="5"/>
      <c r="O13" s="5" t="s">
        <v>23</v>
      </c>
    </row>
    <row r="14" spans="1:15" x14ac:dyDescent="0.25">
      <c r="A14" t="s">
        <v>77</v>
      </c>
      <c r="B14" s="5">
        <v>1</v>
      </c>
      <c r="C14" s="6">
        <v>1.17</v>
      </c>
      <c r="D14" s="6">
        <f t="shared" si="2"/>
        <v>1.17</v>
      </c>
      <c r="E14" s="5" t="s">
        <v>76</v>
      </c>
      <c r="F14" s="5" t="s">
        <v>17</v>
      </c>
      <c r="G14" s="7" t="s">
        <v>79</v>
      </c>
      <c r="H14" s="7" t="s">
        <v>80</v>
      </c>
      <c r="I14" s="5" t="s">
        <v>52</v>
      </c>
      <c r="J14" s="9" t="s">
        <v>81</v>
      </c>
      <c r="K14" s="5"/>
      <c r="L14" s="5"/>
      <c r="M14" s="5"/>
      <c r="N14" s="5"/>
      <c r="O14" s="5" t="s">
        <v>16</v>
      </c>
    </row>
    <row r="15" spans="1:15" x14ac:dyDescent="0.25">
      <c r="A15" s="5" t="s">
        <v>78</v>
      </c>
      <c r="B15" s="5">
        <v>1</v>
      </c>
      <c r="C15" s="6">
        <v>1.86</v>
      </c>
      <c r="D15" s="6">
        <f t="shared" si="2"/>
        <v>1.86</v>
      </c>
      <c r="E15" s="5" t="s">
        <v>76</v>
      </c>
      <c r="F15" t="s">
        <v>19</v>
      </c>
      <c r="G15" s="7" t="s">
        <v>82</v>
      </c>
      <c r="H15" s="7" t="s">
        <v>83</v>
      </c>
      <c r="I15" s="5" t="s">
        <v>51</v>
      </c>
      <c r="J15" s="5" t="s">
        <v>84</v>
      </c>
      <c r="K15" s="5"/>
      <c r="L15" s="5"/>
      <c r="M15" s="5"/>
      <c r="N15" s="5"/>
      <c r="O15" s="5" t="s">
        <v>18</v>
      </c>
    </row>
    <row r="16" spans="1:15" x14ac:dyDescent="0.25">
      <c r="A16" s="5" t="s">
        <v>47</v>
      </c>
      <c r="B16" s="5">
        <v>1</v>
      </c>
      <c r="C16" s="6">
        <v>0.77</v>
      </c>
      <c r="D16" s="6">
        <f t="shared" si="2"/>
        <v>0.77</v>
      </c>
      <c r="E16" s="5" t="s">
        <v>85</v>
      </c>
      <c r="F16" s="5" t="s">
        <v>86</v>
      </c>
      <c r="G16" s="7" t="s">
        <v>87</v>
      </c>
      <c r="H16" s="7" t="s">
        <v>88</v>
      </c>
      <c r="I16" s="5" t="s">
        <v>51</v>
      </c>
      <c r="J16" s="5" t="s">
        <v>89</v>
      </c>
      <c r="K16" s="5"/>
      <c r="L16" s="5"/>
      <c r="M16" s="5"/>
      <c r="N16" s="5"/>
      <c r="O16" s="5" t="s">
        <v>15</v>
      </c>
    </row>
    <row r="17" spans="1:15" x14ac:dyDescent="0.25">
      <c r="A17" s="8" t="s">
        <v>97</v>
      </c>
      <c r="B17" s="5">
        <v>2</v>
      </c>
      <c r="C17" s="6">
        <v>0.52</v>
      </c>
      <c r="D17" s="6">
        <f t="shared" si="2"/>
        <v>1.04</v>
      </c>
      <c r="E17" s="5" t="s">
        <v>56</v>
      </c>
      <c r="F17" s="8">
        <v>15291025</v>
      </c>
      <c r="G17" s="10" t="s">
        <v>98</v>
      </c>
      <c r="H17" s="7" t="s">
        <v>99</v>
      </c>
      <c r="I17" s="5" t="s">
        <v>52</v>
      </c>
      <c r="J17" s="12" t="s">
        <v>100</v>
      </c>
      <c r="K17" s="5"/>
      <c r="L17" s="5"/>
      <c r="M17" s="5"/>
      <c r="N17" s="5"/>
      <c r="O17" s="5" t="s">
        <v>96</v>
      </c>
    </row>
    <row r="18" spans="1:15" x14ac:dyDescent="0.25">
      <c r="A18" s="5" t="s">
        <v>101</v>
      </c>
      <c r="B18" s="5">
        <v>1</v>
      </c>
      <c r="C18" s="6">
        <v>0.15</v>
      </c>
      <c r="D18" s="6">
        <f t="shared" si="2"/>
        <v>0.15</v>
      </c>
      <c r="E18" s="5" t="s">
        <v>102</v>
      </c>
      <c r="F18" s="5" t="s">
        <v>103</v>
      </c>
      <c r="G18" s="7" t="s">
        <v>104</v>
      </c>
      <c r="H18" s="7" t="s">
        <v>105</v>
      </c>
      <c r="I18" s="5" t="s">
        <v>52</v>
      </c>
      <c r="J18" s="5" t="s">
        <v>106</v>
      </c>
      <c r="K18" s="5"/>
      <c r="L18" s="5"/>
      <c r="M18" s="5"/>
      <c r="N18" s="5"/>
      <c r="O18" s="5" t="s">
        <v>6</v>
      </c>
    </row>
    <row r="19" spans="1:15" x14ac:dyDescent="0.25">
      <c r="A19" s="5" t="s">
        <v>107</v>
      </c>
      <c r="B19" s="5">
        <v>1</v>
      </c>
      <c r="C19" s="6">
        <v>0.15</v>
      </c>
      <c r="D19" s="6">
        <f t="shared" si="2"/>
        <v>0.15</v>
      </c>
      <c r="E19" s="5" t="s">
        <v>102</v>
      </c>
      <c r="F19" s="8" t="s">
        <v>108</v>
      </c>
      <c r="G19" s="7" t="s">
        <v>109</v>
      </c>
      <c r="H19" s="7" t="s">
        <v>110</v>
      </c>
      <c r="I19" s="5" t="s">
        <v>52</v>
      </c>
      <c r="J19" s="5" t="s">
        <v>111</v>
      </c>
      <c r="K19" s="5"/>
      <c r="L19" s="5"/>
      <c r="M19" s="5"/>
      <c r="N19" s="5"/>
      <c r="O19" s="5" t="s">
        <v>7</v>
      </c>
    </row>
    <row r="20" spans="1:15" x14ac:dyDescent="0.25">
      <c r="A20" s="5" t="s">
        <v>124</v>
      </c>
      <c r="B20" s="5">
        <v>1</v>
      </c>
      <c r="C20" s="6">
        <v>1.04</v>
      </c>
      <c r="D20" s="6">
        <f t="shared" si="2"/>
        <v>1.04</v>
      </c>
      <c r="E20" s="5" t="s">
        <v>112</v>
      </c>
      <c r="F20" s="8" t="s">
        <v>113</v>
      </c>
      <c r="G20" s="7" t="s">
        <v>115</v>
      </c>
      <c r="H20" s="7" t="s">
        <v>114</v>
      </c>
      <c r="I20" s="5" t="s">
        <v>52</v>
      </c>
      <c r="J20" s="5" t="s">
        <v>116</v>
      </c>
      <c r="K20" s="5"/>
      <c r="L20" s="5"/>
      <c r="M20" s="5"/>
      <c r="N20" s="5"/>
      <c r="O20" s="5" t="s">
        <v>1</v>
      </c>
    </row>
    <row r="21" spans="1:15" x14ac:dyDescent="0.25">
      <c r="A21" s="5" t="s">
        <v>125</v>
      </c>
      <c r="B21" s="5">
        <v>1</v>
      </c>
      <c r="C21" s="6">
        <v>1.71</v>
      </c>
      <c r="D21" s="6">
        <f t="shared" si="2"/>
        <v>1.71</v>
      </c>
      <c r="E21" s="5" t="s">
        <v>112</v>
      </c>
      <c r="F21" s="5" t="s">
        <v>117</v>
      </c>
      <c r="G21" s="7" t="s">
        <v>119</v>
      </c>
      <c r="H21" s="7" t="s">
        <v>118</v>
      </c>
      <c r="I21" s="5" t="s">
        <v>52</v>
      </c>
      <c r="J21" s="5" t="s">
        <v>120</v>
      </c>
      <c r="K21" s="5"/>
      <c r="L21" s="5"/>
      <c r="M21" s="5"/>
      <c r="N21" s="5"/>
      <c r="O21" s="5" t="s">
        <v>3</v>
      </c>
    </row>
    <row r="22" spans="1:15" x14ac:dyDescent="0.25">
      <c r="A22" s="5" t="s">
        <v>126</v>
      </c>
      <c r="B22" s="5">
        <v>2</v>
      </c>
      <c r="C22" s="6">
        <v>2.58</v>
      </c>
      <c r="D22" s="6">
        <f t="shared" si="2"/>
        <v>5.16</v>
      </c>
      <c r="E22" s="5" t="s">
        <v>112</v>
      </c>
      <c r="F22" s="5" t="s">
        <v>121</v>
      </c>
      <c r="G22" s="7" t="s">
        <v>122</v>
      </c>
      <c r="H22" s="7" t="s">
        <v>118</v>
      </c>
      <c r="I22" s="5" t="s">
        <v>52</v>
      </c>
      <c r="J22" s="5" t="s">
        <v>123</v>
      </c>
      <c r="K22" s="5"/>
      <c r="L22" s="5"/>
      <c r="M22" s="5"/>
      <c r="N22" s="5"/>
      <c r="O22" s="5" t="s">
        <v>2</v>
      </c>
    </row>
    <row r="23" spans="1:15" x14ac:dyDescent="0.25">
      <c r="A23" s="5" t="s">
        <v>127</v>
      </c>
      <c r="B23" s="5">
        <v>3</v>
      </c>
      <c r="C23" s="6">
        <v>0.17</v>
      </c>
      <c r="D23" s="6">
        <f t="shared" si="2"/>
        <v>0.51</v>
      </c>
      <c r="E23" s="5" t="s">
        <v>128</v>
      </c>
      <c r="F23" s="5" t="s">
        <v>129</v>
      </c>
      <c r="G23" s="7" t="s">
        <v>132</v>
      </c>
      <c r="H23" s="7" t="s">
        <v>131</v>
      </c>
      <c r="I23" s="5" t="s">
        <v>52</v>
      </c>
      <c r="J23" s="5" t="s">
        <v>130</v>
      </c>
      <c r="K23" s="5"/>
      <c r="L23" s="5"/>
      <c r="M23" s="5"/>
      <c r="N23" s="5"/>
      <c r="O23" s="5" t="s">
        <v>4</v>
      </c>
    </row>
    <row r="24" spans="1:15" x14ac:dyDescent="0.25">
      <c r="A24" s="5" t="s">
        <v>133</v>
      </c>
      <c r="B24" s="5">
        <v>1</v>
      </c>
      <c r="C24" s="6">
        <v>0.78</v>
      </c>
      <c r="D24" s="6">
        <f t="shared" si="2"/>
        <v>0.78</v>
      </c>
      <c r="E24" s="5" t="s">
        <v>134</v>
      </c>
      <c r="F24" s="5" t="s">
        <v>135</v>
      </c>
      <c r="G24" s="7" t="s">
        <v>138</v>
      </c>
      <c r="H24" s="7" t="s">
        <v>137</v>
      </c>
      <c r="I24" s="5" t="s">
        <v>52</v>
      </c>
      <c r="J24" s="5" t="s">
        <v>136</v>
      </c>
      <c r="K24" s="5"/>
      <c r="L24" s="5"/>
      <c r="M24" s="5"/>
      <c r="N24" s="5"/>
      <c r="O24" s="5" t="s">
        <v>13</v>
      </c>
    </row>
    <row r="25" spans="1:15" x14ac:dyDescent="0.25">
      <c r="A25" s="5" t="s">
        <v>139</v>
      </c>
      <c r="B25" s="5">
        <v>1</v>
      </c>
      <c r="C25" s="6">
        <v>0.78</v>
      </c>
      <c r="D25" s="6">
        <f t="shared" si="2"/>
        <v>0.78</v>
      </c>
      <c r="E25" s="5" t="s">
        <v>134</v>
      </c>
      <c r="F25" s="5" t="s">
        <v>140</v>
      </c>
      <c r="G25" s="7" t="s">
        <v>142</v>
      </c>
      <c r="H25" s="7" t="s">
        <v>137</v>
      </c>
      <c r="I25" s="5" t="s">
        <v>52</v>
      </c>
      <c r="J25" s="5" t="s">
        <v>141</v>
      </c>
      <c r="K25" s="5"/>
      <c r="L25" s="5"/>
      <c r="M25" s="5"/>
      <c r="N25" s="5"/>
      <c r="O25" s="5" t="s">
        <v>12</v>
      </c>
    </row>
    <row r="26" spans="1:15" x14ac:dyDescent="0.25">
      <c r="A26" s="5" t="s">
        <v>148</v>
      </c>
      <c r="B26" s="5">
        <v>2</v>
      </c>
      <c r="C26" s="6">
        <v>0.17</v>
      </c>
      <c r="D26" s="6">
        <f t="shared" si="2"/>
        <v>0.34</v>
      </c>
      <c r="E26" s="5" t="s">
        <v>143</v>
      </c>
      <c r="F26" s="5" t="s">
        <v>144</v>
      </c>
      <c r="G26" s="7" t="s">
        <v>147</v>
      </c>
      <c r="H26" s="7" t="s">
        <v>146</v>
      </c>
      <c r="I26" s="5" t="s">
        <v>52</v>
      </c>
      <c r="J26" s="5" t="s">
        <v>145</v>
      </c>
      <c r="K26" s="5"/>
      <c r="L26" s="5"/>
      <c r="M26" s="5"/>
      <c r="N26" s="5"/>
      <c r="O26" s="5" t="s">
        <v>14</v>
      </c>
    </row>
    <row r="27" spans="1:15" x14ac:dyDescent="0.25">
      <c r="A27" s="5" t="s">
        <v>149</v>
      </c>
      <c r="B27" s="5">
        <v>2</v>
      </c>
      <c r="C27" s="6">
        <v>0.12</v>
      </c>
      <c r="D27" s="6">
        <f t="shared" si="2"/>
        <v>0.24</v>
      </c>
      <c r="E27" s="5" t="s">
        <v>143</v>
      </c>
      <c r="F27" s="5" t="s">
        <v>150</v>
      </c>
      <c r="G27" s="7" t="s">
        <v>154</v>
      </c>
      <c r="H27" s="7" t="s">
        <v>153</v>
      </c>
      <c r="I27" s="5" t="s">
        <v>52</v>
      </c>
      <c r="J27" s="5" t="s">
        <v>151</v>
      </c>
      <c r="K27" s="5"/>
      <c r="L27" s="5"/>
      <c r="M27" s="5"/>
      <c r="N27" s="5"/>
      <c r="O27" s="5" t="s">
        <v>152</v>
      </c>
    </row>
    <row r="28" spans="1:15" x14ac:dyDescent="0.25">
      <c r="A28" s="5" t="s">
        <v>155</v>
      </c>
      <c r="B28" s="5">
        <v>2</v>
      </c>
      <c r="C28" s="6">
        <v>0.17</v>
      </c>
      <c r="D28" s="6">
        <f t="shared" si="2"/>
        <v>0.34</v>
      </c>
      <c r="E28" s="5" t="s">
        <v>143</v>
      </c>
      <c r="F28" s="5" t="s">
        <v>156</v>
      </c>
      <c r="G28" s="7" t="s">
        <v>160</v>
      </c>
      <c r="H28" s="7" t="s">
        <v>159</v>
      </c>
      <c r="I28" s="5" t="s">
        <v>52</v>
      </c>
      <c r="J28" s="5" t="s">
        <v>157</v>
      </c>
      <c r="K28" s="5"/>
      <c r="L28" s="5"/>
      <c r="M28" s="5"/>
      <c r="N28" s="5"/>
      <c r="O28" s="5" t="s">
        <v>158</v>
      </c>
    </row>
    <row r="29" spans="1:15" x14ac:dyDescent="0.25">
      <c r="A29" s="5" t="s">
        <v>161</v>
      </c>
      <c r="B29" s="5">
        <v>2</v>
      </c>
      <c r="C29" s="6">
        <v>0.35</v>
      </c>
      <c r="D29" s="6">
        <f t="shared" si="2"/>
        <v>0.7</v>
      </c>
      <c r="E29" s="5" t="s">
        <v>112</v>
      </c>
      <c r="F29" s="5" t="s">
        <v>162</v>
      </c>
      <c r="G29" s="7" t="s">
        <v>165</v>
      </c>
      <c r="H29" s="7" t="s">
        <v>164</v>
      </c>
      <c r="I29" s="5" t="s">
        <v>52</v>
      </c>
      <c r="J29" s="5" t="s">
        <v>163</v>
      </c>
      <c r="K29" s="5"/>
      <c r="L29" s="5"/>
      <c r="M29" s="5"/>
      <c r="N29" s="5"/>
      <c r="O29" s="5" t="s">
        <v>5</v>
      </c>
    </row>
  </sheetData>
  <hyperlinks>
    <hyperlink ref="H11" r:id="rId1" xr:uid="{053A10ED-8ACD-4A49-9BE7-5A6326EC562A}"/>
    <hyperlink ref="G3" r:id="rId2" xr:uid="{EDDD61A3-9419-4C6E-88E1-5B3C05776D04}"/>
    <hyperlink ref="H3" r:id="rId3" xr:uid="{D67900B6-2E5D-446B-95B1-389827B9A575}"/>
    <hyperlink ref="G4" r:id="rId4" xr:uid="{3BEA459C-FBD7-4D7F-ABE5-36E0CDB047B1}"/>
    <hyperlink ref="G13" r:id="rId5" xr:uid="{59CD663D-22DD-4AF1-BFE3-63229315500A}"/>
    <hyperlink ref="H9" r:id="rId6" xr:uid="{5D1FE2C1-FB6D-430E-B672-57A57A3BAFB2}"/>
    <hyperlink ref="G9" r:id="rId7" xr:uid="{6EC864A5-D059-40FD-9758-4874081D0EFE}"/>
    <hyperlink ref="G10" r:id="rId8" xr:uid="{297444C1-C667-40C6-97EA-F21A281F9F6D}"/>
    <hyperlink ref="H10" r:id="rId9" xr:uid="{01E5605C-3B98-4622-ACC5-B08790E08CA7}"/>
    <hyperlink ref="H14" r:id="rId10" xr:uid="{A33C22C6-4E96-4594-B5CA-4E14B7369509}"/>
    <hyperlink ref="H21" r:id="rId11" xr:uid="{281768E6-4AE4-412D-BB03-905D5EAC30F9}"/>
    <hyperlink ref="G21" r:id="rId12" xr:uid="{1A972A12-68E0-4FC5-B72C-32F87ED75B9D}"/>
    <hyperlink ref="H22" r:id="rId13" xr:uid="{770E84BA-59E0-4AC0-8C3F-F1247B3499CA}"/>
    <hyperlink ref="G22" r:id="rId14" xr:uid="{6CDA13B4-64D9-47ED-B379-C56AD0F54E77}"/>
    <hyperlink ref="H23" r:id="rId15" xr:uid="{82E9ADB5-36A9-415A-AE63-FE48439FFE09}"/>
    <hyperlink ref="G23" r:id="rId16" xr:uid="{5EDA1DFB-5DB8-4672-BA5B-2D022F7349D5}"/>
    <hyperlink ref="H24" r:id="rId17" xr:uid="{09DCA9C2-C91E-44CF-9DE8-3B96B2BAFFA9}"/>
    <hyperlink ref="G24" r:id="rId18" xr:uid="{455FD5BF-881E-446A-B0AB-A8A7CB5FDB79}"/>
    <hyperlink ref="H25" r:id="rId19" xr:uid="{EEDA5BC7-0F00-407E-B06C-83765B58F410}"/>
    <hyperlink ref="G25" r:id="rId20" xr:uid="{B666A512-88B3-462A-93D9-39E29E56048E}"/>
    <hyperlink ref="H26" r:id="rId21" xr:uid="{D35DC7D2-5666-4684-ABDB-46307D1BBEFF}"/>
    <hyperlink ref="G26" r:id="rId22" xr:uid="{4D6FB656-1710-4FE4-ACF4-A9C639C09A47}"/>
    <hyperlink ref="H27" r:id="rId23" xr:uid="{711973C8-C373-4B73-9813-DC47D87AF01E}"/>
    <hyperlink ref="G27" r:id="rId24" xr:uid="{B605B4DF-BF39-40FC-8C8D-3163C703E4D7}"/>
    <hyperlink ref="H28" r:id="rId25" xr:uid="{673C6876-E60B-4F6C-9312-E7C33E026728}"/>
    <hyperlink ref="G28" r:id="rId26" xr:uid="{8E70F1F4-E3C6-42F8-BA47-B837AB91DE39}"/>
    <hyperlink ref="H29" r:id="rId27" xr:uid="{B2AF4897-5FEB-454D-BD06-A11350C5DA1D}"/>
    <hyperlink ref="G29" r:id="rId28" xr:uid="{CF974844-FDF5-4DA3-B532-4EFB96071F9A}"/>
    <hyperlink ref="G20" r:id="rId29" xr:uid="{9CA90D10-8320-4705-9FE9-A7BA15578766}"/>
    <hyperlink ref="H5" r:id="rId30" xr:uid="{28A6D0AF-F3AC-4F09-90C9-CFF408AB8EFA}"/>
    <hyperlink ref="G5" r:id="rId31" xr:uid="{95E9F5C3-59C1-47D7-8639-9FA092745ECE}"/>
    <hyperlink ref="G18" r:id="rId32" xr:uid="{7D8CA58E-52E8-41EA-A7E8-FD0AACB526A6}"/>
    <hyperlink ref="G19" r:id="rId33" xr:uid="{D1DDECDB-BEF1-49D7-B57D-83CE6BC0A540}"/>
    <hyperlink ref="G16" r:id="rId34" xr:uid="{DB238BD9-45B5-4F4A-BB66-D984A820CC97}"/>
    <hyperlink ref="G14" r:id="rId35" xr:uid="{F4666F0A-FC92-44FF-B518-76DA10E572CF}"/>
    <hyperlink ref="G15" r:id="rId36" xr:uid="{5701D549-1214-4593-83BE-10FC4DC59483}"/>
    <hyperlink ref="G11" r:id="rId37" xr:uid="{D41FC4FF-1C4A-4EB0-BF24-58445E64C178}"/>
  </hyperlinks>
  <pageMargins left="0.7" right="0.7" top="0.75" bottom="0.75" header="0.3" footer="0.3"/>
  <pageSetup orientation="portrait" r:id="rId3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EGR314-IndividualSubsystemDesig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Merwin</dc:creator>
  <cp:lastModifiedBy>Seth Merwin</cp:lastModifiedBy>
  <dcterms:created xsi:type="dcterms:W3CDTF">2026-03-05T07:42:07Z</dcterms:created>
  <dcterms:modified xsi:type="dcterms:W3CDTF">2026-03-08T05:23:01Z</dcterms:modified>
</cp:coreProperties>
</file>