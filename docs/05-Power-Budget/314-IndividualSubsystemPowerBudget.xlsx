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eee4bdecec0601/Documents/Excel/"/>
    </mc:Choice>
  </mc:AlternateContent>
  <xr:revisionPtr revIDLastSave="0" documentId="8_{9681A149-F842-49C2-BB44-29D8CE5AB1E7}" xr6:coauthVersionLast="47" xr6:coauthVersionMax="47" xr10:uidLastSave="{00000000-0000-0000-0000-000000000000}"/>
  <bookViews>
    <workbookView xWindow="-120" yWindow="480" windowWidth="38640" windowHeight="21240" xr2:uid="{31F9E608-C56D-4FF3-8F06-6516E6B4E0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1" i="1"/>
  <c r="G26" i="1"/>
  <c r="G27" i="1" s="1"/>
  <c r="G29" i="1" s="1"/>
  <c r="G22" i="1"/>
  <c r="G17" i="1"/>
  <c r="G9" i="1"/>
  <c r="G8" i="1"/>
  <c r="G32" i="1" l="1"/>
  <c r="G10" i="1"/>
  <c r="G12" i="1" s="1"/>
  <c r="G14" i="1" s="1"/>
  <c r="G18" i="1"/>
  <c r="G20" i="1" s="1"/>
  <c r="G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17A392FD-E2BA-4224-85B8-DD1E6BCE7FA2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<sst xmlns="http://schemas.openxmlformats.org/spreadsheetml/2006/main" count="106" uniqueCount="46">
  <si>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</si>
  <si>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</si>
  <si>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</si>
  <si>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</si>
  <si>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</si>
  <si>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</si>
  <si>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</si>
  <si>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</si>
  <si>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</si>
  <si>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</si>
  <si>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</si>
  <si>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 xml:space="preserve">   Unit</t>
  </si>
  <si>
    <t>mA</t>
  </si>
  <si>
    <t>Microcontroller</t>
  </si>
  <si>
    <t>+1.8 - 5.5V</t>
  </si>
  <si>
    <t>Subtotal</t>
  </si>
  <si>
    <t>Safety Margin</t>
  </si>
  <si>
    <t>Total Current</t>
  </si>
  <si>
    <t>SOURCE</t>
  </si>
  <si>
    <t>Total Remaining</t>
  </si>
  <si>
    <t xml:space="preserve"> +5V Power Rail</t>
  </si>
  <si>
    <t>Unit</t>
  </si>
  <si>
    <t>Total Current Required on +5V Rail</t>
  </si>
  <si>
    <t>Regulator</t>
  </si>
  <si>
    <t>Total Remaining Current Available on +5V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</si>
  <si>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</si>
  <si>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</si>
  <si>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</si>
  <si>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</si>
  <si>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</si>
  <si>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Distance-Sensing LiDAR Subsystem Power Budget</t>
  </si>
  <si>
    <t>E-Fish-&amp;-Sea</t>
  </si>
  <si>
    <t>Seth Merwin, Austin Gonzales, Hafsa Kaysan, Isaac Smith, Jacob Andrus, K Phang-Davey, Kelton Jensen, Levi Addink, Michael Kim, Neel Garde</t>
  </si>
  <si>
    <t>Serial Single-Point LiDAR Sensor</t>
  </si>
  <si>
    <t>PIC18F47Q43-I/PT</t>
  </si>
  <si>
    <t>TF Luna I2C</t>
  </si>
  <si>
    <t>+3.7 - 5.2V</t>
  </si>
  <si>
    <t>9V 3A Wall Power Supply</t>
  </si>
  <si>
    <t>100 - 240V</t>
  </si>
  <si>
    <t xml:space="preserve"> +5V Switching Regulator</t>
  </si>
  <si>
    <t>LM2596S-5.0-EV</t>
  </si>
  <si>
    <t>+5 - 40V</t>
  </si>
  <si>
    <t xml:space="preserve"> +3.3V Power Rail</t>
  </si>
  <si>
    <t xml:space="preserve"> +3.3V Switching Regulator</t>
  </si>
  <si>
    <t>LM2596S-3.3-EV</t>
  </si>
  <si>
    <t>+9V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</si>
</sst>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name val="Calibri"/>
      <family val="2"/>
    </font>
    <font>
      <b/>
      <sz val="12"/>
      <color rgb="FF000000"/>
      <name val="Calibri"/>
    </font>
    <font>
      <b/>
      <sz val="12"/>
      <color rgb="FF000000"/>
      <name val="Arial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Arial"/>
    </font>
    <font>
      <b/>
      <i/>
      <sz val="12"/>
      <color rgb="FF000000"/>
      <name val="Arial"/>
    </font>
    <font>
      <b/>
      <i/>
      <sz val="12"/>
      <color rgb="FF000000"/>
      <name val="Calibri"/>
      <family val="2"/>
    </font>
    <font>
      <b/>
      <i/>
      <sz val="12"/>
      <color rgb="FF000000"/>
      <name val="Calibri"/>
    </font>
    <font>
      <b/>
      <i/>
      <sz val="12"/>
      <color rgb="FF000000"/>
      <name val="Arial"/>
      <family val="2"/>
    </font>
    <font>
      <sz val="12"/>
      <name val="Calibri"/>
    </font>
    <font>
      <sz val="12"/>
      <color rgb="FF000000"/>
      <name val="Calibri"/>
    </font>
    <font>
      <b/>
      <sz val="10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EEECE1"/>
        <bgColor rgb="FFEEECE1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rgb="FF000000"/>
      </bottom>
      <diagonal/>
    </border>
    <border>
      <left/>
      <right/>
      <top style="double">
        <color indexed="64"/>
      </top>
      <bottom style="thin">
        <color rgb="FF000000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5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wrapText="1"/>
    </xf>
    <xf numFmtId="0" fontId="7" fillId="0" borderId="5" xfId="0" applyFont="1" applyBorder="1"/>
    <xf numFmtId="0" fontId="7" fillId="0" borderId="6" xfId="0" applyFont="1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9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8" fillId="0" borderId="9" xfId="0" quotePrefix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9" fillId="0" borderId="10" xfId="0" applyFont="1" applyBorder="1"/>
    <xf numFmtId="0" fontId="7" fillId="0" borderId="4" xfId="0" applyFont="1" applyBorder="1" applyAlignment="1">
      <alignment horizontal="center"/>
    </xf>
    <xf numFmtId="0" fontId="6" fillId="0" borderId="9" xfId="0" applyFont="1" applyBorder="1"/>
    <xf numFmtId="0" fontId="8" fillId="0" borderId="10" xfId="0" applyFont="1" applyBorder="1"/>
    <xf numFmtId="9" fontId="0" fillId="0" borderId="9" xfId="0" applyNumberFormat="1" applyBorder="1"/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12" xfId="0" applyFont="1" applyBorder="1"/>
    <xf numFmtId="0" fontId="7" fillId="0" borderId="13" xfId="0" applyFont="1" applyBorder="1" applyAlignment="1">
      <alignment horizontal="left"/>
    </xf>
    <xf numFmtId="0" fontId="8" fillId="0" borderId="13" xfId="0" quotePrefix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3" xfId="0" applyFont="1" applyBorder="1"/>
    <xf numFmtId="0" fontId="0" fillId="0" borderId="13" xfId="0" applyBorder="1"/>
    <xf numFmtId="0" fontId="8" fillId="0" borderId="14" xfId="0" applyFont="1" applyBorder="1"/>
    <xf numFmtId="0" fontId="10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0" borderId="17" xfId="0" applyFont="1" applyBorder="1" applyAlignment="1">
      <alignment wrapText="1"/>
    </xf>
    <xf numFmtId="0" fontId="10" fillId="3" borderId="18" xfId="0" applyFont="1" applyFill="1" applyBorder="1"/>
    <xf numFmtId="0" fontId="4" fillId="3" borderId="19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 wrapText="1"/>
    </xf>
    <xf numFmtId="0" fontId="5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wrapText="1"/>
    </xf>
    <xf numFmtId="0" fontId="5" fillId="3" borderId="20" xfId="0" applyFont="1" applyFill="1" applyBorder="1" applyAlignment="1">
      <alignment horizontal="center"/>
    </xf>
    <xf numFmtId="0" fontId="9" fillId="0" borderId="9" xfId="0" applyFont="1" applyBorder="1"/>
    <xf numFmtId="0" fontId="8" fillId="0" borderId="22" xfId="0" quotePrefix="1" applyFont="1" applyBorder="1" applyAlignment="1">
      <alignment horizontal="center"/>
    </xf>
    <xf numFmtId="0" fontId="9" fillId="0" borderId="22" xfId="0" applyFont="1" applyBorder="1"/>
    <xf numFmtId="0" fontId="0" fillId="0" borderId="4" xfId="0" applyBorder="1"/>
    <xf numFmtId="0" fontId="0" fillId="0" borderId="0" xfId="0"/>
    <xf numFmtId="0" fontId="11" fillId="0" borderId="23" xfId="0" applyFont="1" applyBorder="1" applyAlignment="1">
      <alignment horizontal="right"/>
    </xf>
    <xf numFmtId="0" fontId="12" fillId="0" borderId="23" xfId="0" applyFont="1" applyBorder="1" applyAlignment="1">
      <alignment horizontal="right"/>
    </xf>
    <xf numFmtId="0" fontId="0" fillId="0" borderId="23" xfId="0" applyBorder="1"/>
    <xf numFmtId="0" fontId="9" fillId="0" borderId="23" xfId="0" applyFont="1" applyBorder="1"/>
    <xf numFmtId="0" fontId="12" fillId="0" borderId="22" xfId="0" applyFont="1" applyBorder="1" applyAlignment="1">
      <alignment horizontal="right"/>
    </xf>
    <xf numFmtId="9" fontId="0" fillId="0" borderId="22" xfId="0" applyNumberFormat="1" applyBorder="1"/>
    <xf numFmtId="0" fontId="10" fillId="0" borderId="23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3" fillId="0" borderId="22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9" fillId="0" borderId="22" xfId="0" applyFont="1" applyBorder="1" applyAlignment="1">
      <alignment horizontal="right"/>
    </xf>
    <xf numFmtId="0" fontId="0" fillId="0" borderId="22" xfId="0" applyBorder="1" applyAlignment="1">
      <alignment horizontal="right"/>
    </xf>
    <xf numFmtId="0" fontId="10" fillId="0" borderId="0" xfId="0" applyFont="1" applyAlignment="1">
      <alignment horizontal="left"/>
    </xf>
    <xf numFmtId="49" fontId="10" fillId="0" borderId="24" xfId="0" applyNumberFormat="1" applyFont="1" applyBorder="1" applyAlignment="1">
      <alignment horizontal="right"/>
    </xf>
    <xf numFmtId="49" fontId="10" fillId="0" borderId="25" xfId="0" applyNumberFormat="1" applyFont="1" applyBorder="1" applyAlignment="1">
      <alignment horizontal="right"/>
    </xf>
    <xf numFmtId="49" fontId="10" fillId="0" borderId="26" xfId="0" applyNumberFormat="1" applyFont="1" applyBorder="1" applyAlignment="1">
      <alignment horizontal="right"/>
    </xf>
    <xf numFmtId="0" fontId="0" fillId="0" borderId="27" xfId="0" applyBorder="1" applyAlignment="1">
      <alignment horizontal="right"/>
    </xf>
    <xf numFmtId="0" fontId="9" fillId="0" borderId="27" xfId="0" applyFont="1" applyBorder="1"/>
    <xf numFmtId="0" fontId="10" fillId="0" borderId="28" xfId="0" applyFont="1" applyBorder="1" applyAlignment="1">
      <alignment wrapText="1"/>
    </xf>
    <xf numFmtId="0" fontId="14" fillId="0" borderId="0" xfId="0" applyFont="1"/>
    <xf numFmtId="0" fontId="14" fillId="0" borderId="29" xfId="0" applyFont="1" applyBorder="1"/>
    <xf numFmtId="0" fontId="10" fillId="3" borderId="30" xfId="0" applyFont="1" applyFill="1" applyBorder="1"/>
    <xf numFmtId="0" fontId="4" fillId="3" borderId="31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 wrapText="1"/>
    </xf>
    <xf numFmtId="0" fontId="2" fillId="3" borderId="32" xfId="0" applyFont="1" applyFill="1" applyBorder="1" applyAlignment="1">
      <alignment horizontal="center" wrapText="1"/>
    </xf>
    <xf numFmtId="0" fontId="5" fillId="3" borderId="33" xfId="0" applyFont="1" applyFill="1" applyBorder="1" applyAlignment="1">
      <alignment horizontal="center"/>
    </xf>
    <xf numFmtId="0" fontId="5" fillId="0" borderId="34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35" xfId="0" quotePrefix="1" applyFont="1" applyBorder="1" applyAlignment="1">
      <alignment horizontal="center"/>
    </xf>
    <xf numFmtId="0" fontId="9" fillId="0" borderId="35" xfId="0" applyFont="1" applyBorder="1" applyAlignment="1">
      <alignment horizontal="right"/>
    </xf>
    <xf numFmtId="0" fontId="9" fillId="0" borderId="36" xfId="0" applyFont="1" applyBorder="1" applyAlignment="1">
      <alignment horizontal="right"/>
    </xf>
    <xf numFmtId="0" fontId="9" fillId="0" borderId="37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0" fillId="0" borderId="38" xfId="0" applyBorder="1" applyAlignment="1">
      <alignment horizontal="right"/>
    </xf>
    <xf numFmtId="0" fontId="9" fillId="0" borderId="39" xfId="0" applyFont="1" applyBorder="1"/>
    <xf numFmtId="0" fontId="9" fillId="0" borderId="41" xfId="0" applyFont="1" applyBorder="1" applyAlignment="1">
      <alignment horizontal="center"/>
    </xf>
    <xf numFmtId="0" fontId="0" fillId="0" borderId="42" xfId="0" applyBorder="1" applyAlignment="1">
      <alignment horizontal="right"/>
    </xf>
    <xf numFmtId="0" fontId="9" fillId="0" borderId="43" xfId="0" applyFont="1" applyBorder="1"/>
    <xf numFmtId="0" fontId="5" fillId="0" borderId="44" xfId="0" applyFont="1" applyBorder="1" applyAlignment="1">
      <alignment horizontal="center"/>
    </xf>
    <xf numFmtId="49" fontId="10" fillId="0" borderId="45" xfId="0" applyNumberFormat="1" applyFont="1" applyBorder="1" applyAlignment="1">
      <alignment horizontal="right"/>
    </xf>
    <xf numFmtId="0" fontId="9" fillId="0" borderId="46" xfId="0" applyFont="1" applyBorder="1" applyAlignment="1">
      <alignment horizontal="right"/>
    </xf>
    <xf numFmtId="0" fontId="9" fillId="0" borderId="47" xfId="0" applyFont="1" applyBorder="1" applyAlignment="1">
      <alignment horizontal="left"/>
    </xf>
    <xf numFmtId="0" fontId="0" fillId="0" borderId="21" xfId="0" applyBorder="1"/>
    <xf numFmtId="0" fontId="14" fillId="0" borderId="0" xfId="0" applyFont="1"/>
    <xf numFmtId="0" fontId="16" fillId="0" borderId="0" xfId="0" applyFont="1" applyAlignment="1"/>
    <xf numFmtId="0" fontId="6" fillId="0" borderId="0" xfId="0" applyFont="1" applyAlignment="1"/>
    <xf numFmtId="0" fontId="8" fillId="0" borderId="6" xfId="0" quotePrefix="1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10" fillId="0" borderId="0" xfId="0" applyFont="1" applyBorder="1" applyAlignment="1">
      <alignment wrapText="1"/>
    </xf>
    <xf numFmtId="0" fontId="14" fillId="0" borderId="0" xfId="0" applyFont="1" applyBorder="1"/>
    <xf numFmtId="49" fontId="10" fillId="0" borderId="51" xfId="0" applyNumberFormat="1" applyFont="1" applyBorder="1" applyAlignment="1">
      <alignment horizontal="right"/>
    </xf>
    <xf numFmtId="0" fontId="12" fillId="0" borderId="40" xfId="0" applyFont="1" applyBorder="1" applyAlignment="1">
      <alignment horizontal="right"/>
    </xf>
    <xf numFmtId="0" fontId="12" fillId="0" borderId="41" xfId="0" applyFont="1" applyBorder="1" applyAlignment="1">
      <alignment horizontal="right"/>
    </xf>
    <xf numFmtId="0" fontId="12" fillId="0" borderId="52" xfId="0" applyFont="1" applyBorder="1" applyAlignment="1">
      <alignment horizontal="right"/>
    </xf>
    <xf numFmtId="0" fontId="11" fillId="0" borderId="53" xfId="0" applyFont="1" applyBorder="1" applyAlignment="1">
      <alignment horizontal="right"/>
    </xf>
    <xf numFmtId="0" fontId="11" fillId="0" borderId="54" xfId="0" applyFont="1" applyBorder="1" applyAlignment="1">
      <alignment horizontal="right"/>
    </xf>
    <xf numFmtId="0" fontId="11" fillId="0" borderId="55" xfId="0" applyFont="1" applyBorder="1" applyAlignment="1">
      <alignment horizontal="right"/>
    </xf>
    <xf numFmtId="0" fontId="0" fillId="0" borderId="0" xfId="0" applyBorder="1"/>
    <xf numFmtId="0" fontId="0" fillId="0" borderId="56" xfId="0" applyBorder="1"/>
    <xf numFmtId="0" fontId="0" fillId="0" borderId="57" xfId="0" applyBorder="1"/>
    <xf numFmtId="0" fontId="13" fillId="3" borderId="18" xfId="0" applyFont="1" applyFill="1" applyBorder="1"/>
    <xf numFmtId="0" fontId="2" fillId="0" borderId="58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5AFA-937D-4DB8-A073-CA4772B6DBE0}">
  <dimension ref="A1:H39"/>
  <sheetViews>
    <sheetView tabSelected="1" workbookViewId="0">
      <selection activeCell="R15" sqref="R15"/>
    </sheetView>
  </sheetViews>
  <sheetFormatPr defaultRowHeight="15" x14ac:dyDescent="0.25"/>
  <cols>
    <col min="1" max="1" width="33.42578125" customWidth="1"/>
    <col min="2" max="2" width="31.28515625" customWidth="1"/>
    <col min="3" max="3" width="22.140625" customWidth="1"/>
    <col min="4" max="4" width="16" customWidth="1"/>
    <col min="6" max="6" width="17.140625" customWidth="1"/>
    <col min="7" max="7" width="14" customWidth="1"/>
    <col min="8" max="8" width="10.5703125" customWidth="1"/>
  </cols>
  <sheetData>
    <row r="1" spans="1:8" ht="31.5" x14ac:dyDescent="0.5">
      <c r="A1" s="1" t="s">
        <v>30</v>
      </c>
      <c r="B1" s="2"/>
      <c r="C1" s="2"/>
      <c r="D1" s="2"/>
      <c r="E1" s="2"/>
      <c r="F1" s="2"/>
      <c r="G1" s="2"/>
      <c r="H1" s="2"/>
    </row>
    <row r="2" spans="1:8" ht="15.75" x14ac:dyDescent="0.25">
      <c r="A2" s="3" t="s">
        <v>0</v>
      </c>
      <c r="B2" s="4">
        <v>201</v>
      </c>
      <c r="C2" s="4"/>
      <c r="D2" s="4"/>
      <c r="E2" s="5"/>
    </row>
    <row r="3" spans="1:8" ht="15.75" x14ac:dyDescent="0.25">
      <c r="A3" s="6" t="s">
        <v>1</v>
      </c>
      <c r="B3" s="7" t="s">
        <v>31</v>
      </c>
      <c r="C3" s="7"/>
      <c r="D3" s="7"/>
      <c r="E3" s="5"/>
      <c r="F3" s="8"/>
      <c r="G3" s="8"/>
      <c r="H3" s="8"/>
    </row>
    <row r="4" spans="1:8" ht="15.75" x14ac:dyDescent="0.25">
      <c r="A4" s="6" t="s">
        <v>2</v>
      </c>
      <c r="B4" s="103" t="s">
        <v>32</v>
      </c>
      <c r="C4" s="104"/>
      <c r="D4" s="104"/>
      <c r="E4" s="5"/>
      <c r="F4" s="8"/>
      <c r="G4" s="8"/>
      <c r="H4" s="8"/>
    </row>
    <row r="5" spans="1:8" ht="15.75" x14ac:dyDescent="0.25">
      <c r="A5" s="6" t="s">
        <v>3</v>
      </c>
      <c r="B5" s="9">
        <v>1</v>
      </c>
      <c r="C5" s="9"/>
      <c r="D5" s="9"/>
      <c r="E5" s="5"/>
      <c r="F5" s="8"/>
      <c r="G5" s="8"/>
      <c r="H5" s="8"/>
    </row>
    <row r="6" spans="1:8" ht="15.75" x14ac:dyDescent="0.25">
      <c r="A6" s="10"/>
      <c r="B6" s="8"/>
      <c r="C6" s="8"/>
      <c r="D6" s="5"/>
      <c r="E6" s="5"/>
      <c r="F6" s="8"/>
      <c r="G6" s="8"/>
      <c r="H6" s="8"/>
    </row>
    <row r="7" spans="1:8" ht="48" thickBot="1" x14ac:dyDescent="0.3">
      <c r="A7" s="11" t="s">
        <v>4</v>
      </c>
      <c r="B7" s="12" t="s">
        <v>5</v>
      </c>
      <c r="C7" s="12" t="s">
        <v>6</v>
      </c>
      <c r="D7" s="13" t="s">
        <v>7</v>
      </c>
      <c r="E7" s="14" t="s">
        <v>8</v>
      </c>
      <c r="F7" s="13" t="s">
        <v>9</v>
      </c>
      <c r="G7" s="15" t="s">
        <v>10</v>
      </c>
      <c r="H7" s="16" t="s">
        <v>11</v>
      </c>
    </row>
    <row r="8" spans="1:8" ht="15.75" x14ac:dyDescent="0.25">
      <c r="A8" s="106"/>
      <c r="B8" s="17" t="s">
        <v>33</v>
      </c>
      <c r="C8" s="18" t="s">
        <v>35</v>
      </c>
      <c r="D8" s="105" t="s">
        <v>36</v>
      </c>
      <c r="E8" s="19">
        <v>1</v>
      </c>
      <c r="F8" s="20">
        <v>150</v>
      </c>
      <c r="G8" s="20">
        <f t="shared" ref="G8:G9" si="0">E8*F8</f>
        <v>150</v>
      </c>
      <c r="H8" s="21" t="s">
        <v>12</v>
      </c>
    </row>
    <row r="9" spans="1:8" ht="15.75" x14ac:dyDescent="0.25">
      <c r="A9" s="107"/>
      <c r="B9" s="22" t="s">
        <v>13</v>
      </c>
      <c r="C9" s="23" t="s">
        <v>34</v>
      </c>
      <c r="D9" s="24" t="s">
        <v>14</v>
      </c>
      <c r="E9" s="25">
        <v>1</v>
      </c>
      <c r="F9" s="26">
        <v>350</v>
      </c>
      <c r="G9" s="26">
        <f t="shared" si="0"/>
        <v>350</v>
      </c>
      <c r="H9" s="27" t="s">
        <v>12</v>
      </c>
    </row>
    <row r="10" spans="1:8" ht="15.75" x14ac:dyDescent="0.25">
      <c r="A10" s="107"/>
      <c r="B10" s="22"/>
      <c r="C10" s="23"/>
      <c r="D10" s="24"/>
      <c r="E10" s="25"/>
      <c r="F10" s="29" t="s">
        <v>15</v>
      </c>
      <c r="G10" s="26">
        <f>SUM(G8:G9)</f>
        <v>500</v>
      </c>
      <c r="H10" s="30" t="s">
        <v>12</v>
      </c>
    </row>
    <row r="11" spans="1:8" ht="15.75" x14ac:dyDescent="0.25">
      <c r="A11" s="107"/>
      <c r="B11" s="22"/>
      <c r="C11" s="23"/>
      <c r="D11" s="24"/>
      <c r="E11" s="25"/>
      <c r="F11" s="29" t="s">
        <v>16</v>
      </c>
      <c r="G11" s="31">
        <v>0.25</v>
      </c>
      <c r="H11" s="30"/>
    </row>
    <row r="12" spans="1:8" ht="16.5" thickBot="1" x14ac:dyDescent="0.3">
      <c r="A12" s="108"/>
      <c r="B12" s="22"/>
      <c r="C12" s="23"/>
      <c r="D12" s="24"/>
      <c r="E12" s="25"/>
      <c r="F12" s="29" t="s">
        <v>17</v>
      </c>
      <c r="G12" s="26">
        <f>G10*(1+G11)</f>
        <v>625</v>
      </c>
      <c r="H12" s="30" t="s">
        <v>12</v>
      </c>
    </row>
    <row r="13" spans="1:8" ht="16.5" thickBot="1" x14ac:dyDescent="0.3">
      <c r="A13" s="32" t="s">
        <v>18</v>
      </c>
      <c r="B13" s="23" t="s">
        <v>37</v>
      </c>
      <c r="C13" s="33">
        <v>930</v>
      </c>
      <c r="D13" s="24" t="s">
        <v>38</v>
      </c>
      <c r="E13" s="25">
        <v>1</v>
      </c>
      <c r="F13" s="26">
        <v>3000</v>
      </c>
      <c r="G13" s="26">
        <v>3000</v>
      </c>
      <c r="H13" s="30" t="s">
        <v>12</v>
      </c>
    </row>
    <row r="14" spans="1:8" ht="16.5" thickBot="1" x14ac:dyDescent="0.3">
      <c r="A14" s="28"/>
      <c r="B14" s="34"/>
      <c r="C14" s="35"/>
      <c r="D14" s="36"/>
      <c r="E14" s="37"/>
      <c r="F14" s="38" t="s">
        <v>19</v>
      </c>
      <c r="G14" s="39">
        <f>G13-G12</f>
        <v>2375</v>
      </c>
      <c r="H14" s="40" t="s">
        <v>12</v>
      </c>
    </row>
    <row r="15" spans="1:8" ht="15.75" x14ac:dyDescent="0.25">
      <c r="A15" s="41"/>
      <c r="B15" s="42"/>
      <c r="C15" s="42"/>
      <c r="D15" s="42"/>
      <c r="E15" s="42"/>
      <c r="F15" s="42"/>
      <c r="G15" s="42"/>
      <c r="H15" s="43"/>
    </row>
    <row r="16" spans="1:8" ht="48" thickBot="1" x14ac:dyDescent="0.3">
      <c r="A16" s="44" t="s">
        <v>20</v>
      </c>
      <c r="B16" s="45" t="s">
        <v>5</v>
      </c>
      <c r="C16" s="45" t="s">
        <v>6</v>
      </c>
      <c r="D16" s="46" t="s">
        <v>7</v>
      </c>
      <c r="E16" s="47" t="s">
        <v>8</v>
      </c>
      <c r="F16" s="46" t="s">
        <v>9</v>
      </c>
      <c r="G16" s="48" t="s">
        <v>10</v>
      </c>
      <c r="H16" s="49" t="s">
        <v>21</v>
      </c>
    </row>
    <row r="17" spans="1:8" ht="15.75" x14ac:dyDescent="0.25">
      <c r="A17" s="101"/>
      <c r="B17" s="17" t="s">
        <v>33</v>
      </c>
      <c r="C17" s="18" t="s">
        <v>35</v>
      </c>
      <c r="D17" s="105" t="s">
        <v>36</v>
      </c>
      <c r="E17" s="25">
        <v>1</v>
      </c>
      <c r="F17" s="26">
        <v>150</v>
      </c>
      <c r="G17" s="26">
        <f t="shared" ref="G17" si="1">E17*F17</f>
        <v>150</v>
      </c>
      <c r="H17" s="50" t="s">
        <v>12</v>
      </c>
    </row>
    <row r="18" spans="1:8" ht="15.75" x14ac:dyDescent="0.25">
      <c r="A18" s="53"/>
      <c r="B18" s="54"/>
      <c r="C18" s="54"/>
      <c r="D18" s="55" t="s">
        <v>15</v>
      </c>
      <c r="E18" s="56"/>
      <c r="F18" s="56"/>
      <c r="G18" s="57">
        <f>SUM(G17:G17)</f>
        <v>150</v>
      </c>
      <c r="H18" s="58" t="s">
        <v>12</v>
      </c>
    </row>
    <row r="19" spans="1:8" ht="16.5" thickBot="1" x14ac:dyDescent="0.3">
      <c r="A19" s="53"/>
      <c r="B19" s="54"/>
      <c r="C19" s="54"/>
      <c r="D19" s="59" t="s">
        <v>16</v>
      </c>
      <c r="E19" s="59"/>
      <c r="F19" s="59"/>
      <c r="G19" s="60">
        <v>0.25</v>
      </c>
      <c r="H19" s="60"/>
    </row>
    <row r="20" spans="1:8" ht="16.5" thickTop="1" x14ac:dyDescent="0.25">
      <c r="A20" s="53"/>
      <c r="B20" s="54"/>
      <c r="C20" s="54"/>
      <c r="D20" s="61"/>
      <c r="E20" s="61"/>
      <c r="F20" s="61" t="s">
        <v>22</v>
      </c>
      <c r="G20" s="57">
        <f>G18*(1+G19)</f>
        <v>187.5</v>
      </c>
      <c r="H20" s="58" t="s">
        <v>12</v>
      </c>
    </row>
    <row r="21" spans="1:8" ht="15.75" x14ac:dyDescent="0.25">
      <c r="A21" s="53"/>
      <c r="B21" s="54"/>
      <c r="C21" s="54"/>
      <c r="D21" s="62"/>
      <c r="E21" s="62"/>
      <c r="F21" s="63"/>
      <c r="G21" s="64"/>
    </row>
    <row r="22" spans="1:8" ht="16.5" thickBot="1" x14ac:dyDescent="0.3">
      <c r="A22" s="65" t="s">
        <v>23</v>
      </c>
      <c r="B22" s="66" t="s">
        <v>39</v>
      </c>
      <c r="C22" s="66" t="s">
        <v>40</v>
      </c>
      <c r="D22" s="51" t="s">
        <v>41</v>
      </c>
      <c r="E22" s="67">
        <v>1</v>
      </c>
      <c r="F22" s="68">
        <v>3000</v>
      </c>
      <c r="G22" s="69">
        <f>E22*F22</f>
        <v>3000</v>
      </c>
      <c r="H22" s="52" t="s">
        <v>12</v>
      </c>
    </row>
    <row r="23" spans="1:8" ht="16.5" thickTop="1" x14ac:dyDescent="0.25">
      <c r="A23" s="70"/>
      <c r="B23" s="71" t="s">
        <v>24</v>
      </c>
      <c r="C23" s="72"/>
      <c r="D23" s="72"/>
      <c r="E23" s="72"/>
      <c r="F23" s="73"/>
      <c r="G23" s="74">
        <f>G22-G20</f>
        <v>2812.5</v>
      </c>
      <c r="H23" s="75" t="s">
        <v>12</v>
      </c>
    </row>
    <row r="24" spans="1:8" ht="15.75" x14ac:dyDescent="0.25">
      <c r="A24" s="76"/>
      <c r="B24" s="77"/>
      <c r="C24" s="77"/>
      <c r="D24" s="77"/>
      <c r="E24" s="77"/>
      <c r="F24" s="77"/>
      <c r="G24" s="77"/>
      <c r="H24" s="78"/>
    </row>
    <row r="25" spans="1:8" ht="47.25" x14ac:dyDescent="0.25">
      <c r="A25" s="121" t="s">
        <v>42</v>
      </c>
      <c r="B25" s="45" t="s">
        <v>5</v>
      </c>
      <c r="C25" s="45" t="s">
        <v>6</v>
      </c>
      <c r="D25" s="46" t="s">
        <v>7</v>
      </c>
      <c r="E25" s="47" t="s">
        <v>8</v>
      </c>
      <c r="F25" s="46" t="s">
        <v>9</v>
      </c>
      <c r="G25" s="48" t="s">
        <v>10</v>
      </c>
      <c r="H25" s="49" t="s">
        <v>21</v>
      </c>
    </row>
    <row r="26" spans="1:8" ht="15.75" x14ac:dyDescent="0.25">
      <c r="A26" s="101"/>
      <c r="B26" s="22" t="s">
        <v>13</v>
      </c>
      <c r="C26" s="23" t="s">
        <v>34</v>
      </c>
      <c r="D26" s="24" t="s">
        <v>14</v>
      </c>
      <c r="E26" s="25">
        <v>1</v>
      </c>
      <c r="F26" s="26">
        <v>350</v>
      </c>
      <c r="G26" s="26">
        <f t="shared" ref="G26" si="2">E26*F26</f>
        <v>350</v>
      </c>
      <c r="H26" s="50" t="s">
        <v>12</v>
      </c>
    </row>
    <row r="27" spans="1:8" ht="15.75" x14ac:dyDescent="0.25">
      <c r="A27" s="53"/>
      <c r="B27" s="118"/>
      <c r="C27" s="118"/>
      <c r="D27" s="115" t="s">
        <v>15</v>
      </c>
      <c r="E27" s="116"/>
      <c r="F27" s="117"/>
      <c r="G27" s="57">
        <f>SUM(G26:G26)</f>
        <v>350</v>
      </c>
      <c r="H27" s="58" t="s">
        <v>12</v>
      </c>
    </row>
    <row r="28" spans="1:8" ht="16.5" thickBot="1" x14ac:dyDescent="0.3">
      <c r="A28" s="53"/>
      <c r="B28" s="118"/>
      <c r="C28" s="118"/>
      <c r="D28" s="112" t="s">
        <v>16</v>
      </c>
      <c r="E28" s="113"/>
      <c r="F28" s="114"/>
      <c r="G28" s="60">
        <v>0.25</v>
      </c>
      <c r="H28" s="60"/>
    </row>
    <row r="29" spans="1:8" ht="18.75" customHeight="1" thickTop="1" x14ac:dyDescent="0.25">
      <c r="A29" s="53"/>
      <c r="B29" s="118"/>
      <c r="C29" s="118"/>
      <c r="D29" s="61"/>
      <c r="E29" s="61"/>
      <c r="F29" s="61" t="s">
        <v>22</v>
      </c>
      <c r="G29" s="57">
        <f>G27*(1+G28)</f>
        <v>437.5</v>
      </c>
      <c r="H29" s="58" t="s">
        <v>12</v>
      </c>
    </row>
    <row r="30" spans="1:8" ht="15.75" x14ac:dyDescent="0.25">
      <c r="A30" s="119"/>
      <c r="B30" s="120"/>
      <c r="C30" s="120"/>
      <c r="D30" s="62"/>
      <c r="E30" s="62"/>
      <c r="F30" s="63"/>
      <c r="G30" s="64"/>
    </row>
    <row r="31" spans="1:8" ht="16.5" thickBot="1" x14ac:dyDescent="0.3">
      <c r="A31" s="65" t="s">
        <v>23</v>
      </c>
      <c r="B31" s="66" t="s">
        <v>43</v>
      </c>
      <c r="C31" s="66" t="s">
        <v>44</v>
      </c>
      <c r="D31" s="51" t="s">
        <v>41</v>
      </c>
      <c r="E31" s="67">
        <v>1</v>
      </c>
      <c r="F31" s="68">
        <v>3000</v>
      </c>
      <c r="G31" s="69">
        <f>E31*F31</f>
        <v>3000</v>
      </c>
      <c r="H31" s="52" t="s">
        <v>12</v>
      </c>
    </row>
    <row r="32" spans="1:8" ht="16.5" thickTop="1" x14ac:dyDescent="0.25">
      <c r="A32" s="70"/>
      <c r="B32" s="71" t="s">
        <v>24</v>
      </c>
      <c r="C32" s="72"/>
      <c r="D32" s="72"/>
      <c r="E32" s="72"/>
      <c r="F32" s="73"/>
      <c r="G32" s="74">
        <f>G31-G29</f>
        <v>2562.5</v>
      </c>
      <c r="H32" s="75" t="s">
        <v>12</v>
      </c>
    </row>
    <row r="33" spans="1:8" ht="16.5" thickBot="1" x14ac:dyDescent="0.3">
      <c r="A33" s="109"/>
      <c r="B33" s="102"/>
      <c r="C33" s="102"/>
      <c r="D33" s="102"/>
      <c r="E33" s="102"/>
      <c r="F33" s="102"/>
      <c r="G33" s="102"/>
      <c r="H33" s="110"/>
    </row>
    <row r="34" spans="1:8" ht="47.25" x14ac:dyDescent="0.25">
      <c r="A34" s="79" t="s">
        <v>25</v>
      </c>
      <c r="B34" s="80" t="s">
        <v>5</v>
      </c>
      <c r="C34" s="80" t="s">
        <v>6</v>
      </c>
      <c r="D34" s="81" t="s">
        <v>7</v>
      </c>
      <c r="E34" s="81" t="s">
        <v>26</v>
      </c>
      <c r="F34" s="81" t="s">
        <v>9</v>
      </c>
      <c r="G34" s="82" t="s">
        <v>10</v>
      </c>
      <c r="H34" s="83" t="s">
        <v>21</v>
      </c>
    </row>
    <row r="35" spans="1:8" ht="15.75" x14ac:dyDescent="0.25">
      <c r="A35" s="84" t="s">
        <v>27</v>
      </c>
      <c r="B35" s="85" t="s">
        <v>37</v>
      </c>
      <c r="C35" s="85">
        <v>930</v>
      </c>
      <c r="D35" s="86" t="s">
        <v>38</v>
      </c>
      <c r="E35" s="86" t="s">
        <v>45</v>
      </c>
      <c r="F35" s="87">
        <v>3000</v>
      </c>
      <c r="G35" s="88">
        <v>3000</v>
      </c>
      <c r="H35" s="89" t="s">
        <v>12</v>
      </c>
    </row>
    <row r="36" spans="1:8" ht="40.5" customHeight="1" x14ac:dyDescent="0.25">
      <c r="A36" s="90"/>
      <c r="B36" s="91"/>
      <c r="C36" s="91"/>
      <c r="D36" s="62"/>
      <c r="E36" s="62"/>
      <c r="F36" s="63"/>
      <c r="G36" s="92"/>
      <c r="H36" s="93"/>
    </row>
    <row r="37" spans="1:8" ht="27" customHeight="1" thickBot="1" x14ac:dyDescent="0.3">
      <c r="A37" s="122" t="s">
        <v>28</v>
      </c>
      <c r="B37" s="66" t="s">
        <v>39</v>
      </c>
      <c r="C37" s="66" t="s">
        <v>40</v>
      </c>
      <c r="D37" s="51" t="s">
        <v>41</v>
      </c>
      <c r="E37" s="94">
        <v>1</v>
      </c>
      <c r="F37" s="68">
        <v>3000</v>
      </c>
      <c r="G37" s="95">
        <v>187.5</v>
      </c>
      <c r="H37" s="96" t="s">
        <v>12</v>
      </c>
    </row>
    <row r="38" spans="1:8" ht="31.5" customHeight="1" thickTop="1" thickBot="1" x14ac:dyDescent="0.3">
      <c r="A38" s="123"/>
      <c r="B38" s="66" t="s">
        <v>43</v>
      </c>
      <c r="C38" s="66" t="s">
        <v>44</v>
      </c>
      <c r="D38" s="51" t="s">
        <v>41</v>
      </c>
      <c r="E38" s="94">
        <v>1</v>
      </c>
      <c r="F38" s="68">
        <v>3000</v>
      </c>
      <c r="G38" s="95">
        <v>437.5</v>
      </c>
      <c r="H38" s="96" t="s">
        <v>12</v>
      </c>
    </row>
    <row r="39" spans="1:8" ht="17.25" thickTop="1" thickBot="1" x14ac:dyDescent="0.3">
      <c r="A39" s="97"/>
      <c r="B39" s="98" t="s">
        <v>29</v>
      </c>
      <c r="C39" s="98"/>
      <c r="D39" s="98"/>
      <c r="E39" s="98"/>
      <c r="F39" s="111"/>
      <c r="G39" s="99">
        <f>G35-SUM(G37:G38)</f>
        <v>2375</v>
      </c>
      <c r="H39" s="100" t="s">
        <v>12</v>
      </c>
    </row>
  </sheetData>
  <mergeCells count="17">
    <mergeCell ref="B32:F32"/>
    <mergeCell ref="A37:A38"/>
    <mergeCell ref="A8:A12"/>
    <mergeCell ref="A27:C30"/>
    <mergeCell ref="D27:F27"/>
    <mergeCell ref="D28:F28"/>
    <mergeCell ref="A24:H24"/>
    <mergeCell ref="B39:F39"/>
    <mergeCell ref="A15:H15"/>
    <mergeCell ref="A18:C21"/>
    <mergeCell ref="D18:F18"/>
    <mergeCell ref="D19:F19"/>
    <mergeCell ref="B23:F23"/>
    <mergeCell ref="A1:H1"/>
    <mergeCell ref="B2:D2"/>
    <mergeCell ref="B3:D3"/>
    <mergeCell ref="B5:D5"/>
  </mergeCells>
  <conditionalFormatting sqref="G23">
    <cfRule type="cellIs" dxfId="1" priority="2" operator="lessThan">
      <formula>0</formula>
    </cfRule>
  </conditionalFormatting>
  <conditionalFormatting sqref="G32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Merwin</dc:creator>
  <cp:lastModifiedBy>Seth Merwin</cp:lastModifiedBy>
  <dcterms:created xsi:type="dcterms:W3CDTF">2026-03-08T04:09:20Z</dcterms:created>
  <dcterms:modified xsi:type="dcterms:W3CDTF">2026-03-08T05:01:41Z</dcterms:modified>
</cp:coreProperties>
</file>